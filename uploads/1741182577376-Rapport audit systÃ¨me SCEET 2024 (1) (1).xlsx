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16"/>
  <workbookPr defaultThemeVersion="124226"/>
  <mc:AlternateContent xmlns:mc="http://schemas.openxmlformats.org/markup-compatibility/2006">
    <mc:Choice Requires="x15">
      <x15ac:absPath xmlns:x15ac="http://schemas.microsoft.com/office/spreadsheetml/2010/11/ac" url="https://avocarbongroup-my.sharepoint.com/personal/haithem_besghaier_avocarbon_com/Documents/Bureau/"/>
    </mc:Choice>
  </mc:AlternateContent>
  <xr:revisionPtr revIDLastSave="3" documentId="8_{272A187A-569E-40C9-9C03-4307AF6FD9BF}" xr6:coauthVersionLast="47" xr6:coauthVersionMax="47" xr10:uidLastSave="{01A8EF7C-AA65-4493-AFB0-A241F1BCCBA4}"/>
  <bookViews>
    <workbookView xWindow="-108" yWindow="-108" windowWidth="23256" windowHeight="12576" firstSheet="1" activeTab="1" xr2:uid="{00000000-000D-0000-FFFF-FFFF00000000}"/>
  </bookViews>
  <sheets>
    <sheet name="Agenda audit" sheetId="1" r:id="rId1"/>
    <sheet name="Rapport d'audit" sheetId="9" r:id="rId2"/>
    <sheet name="Evidences" sheetId="3" r:id="rId3"/>
    <sheet name="Points forts" sheetId="4" r:id="rId4"/>
    <sheet name="Interraction" sheetId="5" r:id="rId5"/>
    <sheet name="Présence" sheetId="6" r:id="rId6"/>
  </sheets>
  <definedNames>
    <definedName name="_xlnm._FilterDatabase" localSheetId="1" hidden="1">'Rapport d''audit'!$A$11:$P$75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5" i="9" l="1"/>
  <c r="M68" i="9"/>
  <c r="N59" i="9"/>
  <c r="N51" i="9"/>
  <c r="M36" i="9"/>
  <c r="N23" i="9"/>
  <c r="M23" i="9"/>
  <c r="N12" i="9" l="1"/>
  <c r="M12" i="9"/>
  <c r="N77" i="9"/>
</calcChain>
</file>

<file path=xl/sharedStrings.xml><?xml version="1.0" encoding="utf-8"?>
<sst xmlns="http://schemas.openxmlformats.org/spreadsheetml/2006/main" count="396" uniqueCount="251">
  <si>
    <t>Planning d'audit interne SMQ</t>
  </si>
  <si>
    <t xml:space="preserve">Année </t>
  </si>
  <si>
    <t>PS13.5-F4 Ind. 3</t>
  </si>
  <si>
    <t>Réf
SMQ</t>
  </si>
  <si>
    <t>Processus</t>
  </si>
  <si>
    <t>Audité(s)</t>
  </si>
  <si>
    <t>Poitiers</t>
  </si>
  <si>
    <r>
      <rPr>
        <b/>
        <u/>
        <sz val="9"/>
        <color rgb="FF000000"/>
        <rFont val="Times New Roman"/>
      </rPr>
      <t xml:space="preserve">Domaine d'application: </t>
    </r>
    <r>
      <rPr>
        <sz val="9"/>
        <color rgb="FF000000"/>
        <rFont val="Times New Roman"/>
      </rPr>
      <t xml:space="preserve">Conception et fabrication des  des sousensembles
électromécaniques (porte-balais) des faisceaux et des selfs
</t>
    </r>
    <r>
      <rPr>
        <b/>
        <u/>
        <sz val="9"/>
        <color rgb="FF000000"/>
        <rFont val="Times New Roman"/>
      </rPr>
      <t>langue  Audit :</t>
    </r>
    <r>
      <rPr>
        <b/>
        <sz val="9"/>
        <color rgb="FF000000"/>
        <rFont val="Times New Roman"/>
      </rPr>
      <t xml:space="preserve"> Français
</t>
    </r>
    <r>
      <rPr>
        <b/>
        <u/>
        <sz val="9"/>
        <color rgb="FF000000"/>
        <rFont val="Times New Roman"/>
      </rPr>
      <t xml:space="preserve">Objectif d‘Audit:
</t>
    </r>
    <r>
      <rPr>
        <sz val="9"/>
        <color rgb="FF000000"/>
        <rFont val="Times New Roman"/>
      </rPr>
      <t xml:space="preserve">Revue documentaire
Evaluer la mise en oueuvre, y compris l'efficacité du SMQ
Informations et éléments de preuve concernant la conformité à toutes les exigences 
Surveillance, mesure, reporting
Examen des principaux objectifs et cibles de performance
Contrôle opérationnel des processus du client
 Responsabilité de la direction pour les politiques
  Liens entre les exigences normatives, la politique, les Objectifs de rendement et les objectifs
 Compétence du personnel
Déploiement des CSR 
</t>
    </r>
    <r>
      <rPr>
        <b/>
        <u/>
        <sz val="9"/>
        <color rgb="FF000000"/>
        <rFont val="Times New Roman"/>
      </rPr>
      <t xml:space="preserve">Réferentiels:
</t>
    </r>
    <r>
      <rPr>
        <sz val="9"/>
        <color rgb="FF000000"/>
        <rFont val="Times New Roman"/>
      </rPr>
      <t>ISO 9001 &amp; IATF 16949:2016 // CSR VALEO  INTEVA NIDEC et Pierburg  /SI /FAQ + CORE TOOLS</t>
    </r>
  </si>
  <si>
    <t>Date/Heure</t>
  </si>
  <si>
    <t>Auditeurs</t>
  </si>
  <si>
    <t>P1</t>
  </si>
  <si>
    <t>Leadership
4.1; 4.2; 4.3; 4.4; 5.1; 5.2;
5.3; 6.1; 6.3; 7.1; 7.4; 7.5;
9.1; 9.2; 9.3; 10.1. 10.2; 10.3
(RL stratégic planning Luxembourg )</t>
  </si>
  <si>
    <t>Imed Ben Alaya</t>
  </si>
  <si>
    <t xml:space="preserve">Jalel DAMMAK </t>
  </si>
  <si>
    <t>09h00---&gt;12h00</t>
  </si>
  <si>
    <t>P3</t>
  </si>
  <si>
    <t xml:space="preserve"> SMQ &amp; Amélioration continue
 P3
4.1; 4.2; 4.3; 4.4; 
6.1; 6.3; 6.3; 7.2; 7.3; 7.5;8.7
9.1; 9.2; 9.3; 10.1. 10.2; 10.3
</t>
  </si>
  <si>
    <t xml:space="preserve">Anis Othmani </t>
  </si>
  <si>
    <t>14h30----&gt;16h30</t>
  </si>
  <si>
    <t>C1</t>
  </si>
  <si>
    <t>Prospection et offre commerciale 
4.3; 4.4; 6.1; 6.2; 6.3; 7.5;
8.1; 8.2.1; 8.2.4; 9.1.1;
9.1.2; 9.1.3</t>
  </si>
  <si>
    <t>Audité à Avocarbon France  RL</t>
  </si>
  <si>
    <t>C3</t>
  </si>
  <si>
    <t>Conception produit 
4.3; 4.4; 6.1; 6.2; 6.3; 7.5;
8.3.1; 8.3.2; 8.3.3; 8.3.4;
8.3.5; 8.3.6; 9.1.1; 9.1.2;9.1.3</t>
  </si>
  <si>
    <t xml:space="preserve">RL   AvoCarbon France / AvoCarbon Kunshan </t>
  </si>
  <si>
    <t>C4</t>
  </si>
  <si>
    <t>Industrialisation, déploiement et conception process 
4.3; 4.4; 6.1; 6.2; 6.3;
7.5; 8.3.1; 8.3.2;
8.3.3; 8.3.4; 8.3.5;
8.3.6; 8.5.1; 9.1.1;9.1.3
(RL Process Design AvoCarbon France/AvoCarbon Kunshan)</t>
  </si>
  <si>
    <t xml:space="preserve">SADOK DJEBBI </t>
  </si>
  <si>
    <t>09h00---&gt;11h00</t>
  </si>
  <si>
    <t>C5</t>
  </si>
  <si>
    <t xml:space="preserve">Logistique &amp; Approvisionnement
4.3; 4.4; 6.1; 6.2; 6.3;
7.5; 8.4.2; 8.4.3;
8.5.5; 8.5.6; 8.6; 9.1.1; 9.1.3
(RL Warehousing MP AvoCarbon France) </t>
  </si>
  <si>
    <t>Wafa Khlifa</t>
  </si>
  <si>
    <t>11h00---&gt;13h00</t>
  </si>
  <si>
    <t>C6</t>
  </si>
  <si>
    <t>Production Equipe 2 SCEET/SAME
4.3; 4.4; 6.1; 6.2; 6.3; 7.5;
8.5.1; 8.5.2; 8.5.3; 8.5.4;
8.6; 8.7; 9.1.1; 9.1.3</t>
  </si>
  <si>
    <t xml:space="preserve">Salah Ben Achour
Sami Touihri 
Lassad Charrabi 
Riadh Nefzi </t>
  </si>
  <si>
    <t>14h30---&gt;18h30</t>
  </si>
  <si>
    <t>Production Equipe 1 SCEET/SAME et passation des équipes
4.3; 4.4; 6.1; 6.2; 6.3; 7.5;
8.5.1; 8.5.2; 8.5.3; 8.5.4;
8.6; 8.7; 9.1.1; 9.1.3</t>
  </si>
  <si>
    <t>08h30---&gt;14h30</t>
  </si>
  <si>
    <t>S1</t>
  </si>
  <si>
    <t>Achat
S1
4.3; 4.4; 6.1; 6.2; 6.3;7.5;8.4;8.79.1.1; 9.1.3
(RL selection des prestataires AvoCarbon France )</t>
  </si>
  <si>
    <t>Farouk Youssef</t>
  </si>
  <si>
    <t>14h30---&gt;16h30</t>
  </si>
  <si>
    <t>S3</t>
  </si>
  <si>
    <t>Maintenance des moyens &amp; infrastructures 
4.3; 4.4; 6.1; 6.3;
7.1.3; 7.1.4; 7.1.5;
8.5.1; 9.1.1; 9.1.3
(RL IT AvoCarbon France )</t>
  </si>
  <si>
    <t>Kamel Massoudi</t>
  </si>
  <si>
    <t>S8</t>
  </si>
  <si>
    <t xml:space="preserve">Gestion du personnel et des compétences 
4.3; 4.4; 6.1; 6.3;7.1;7.2;7.3;7.5
9.1.1; 9.1.3
</t>
  </si>
  <si>
    <t xml:space="preserve">Maher Kammoun </t>
  </si>
  <si>
    <t>11h30----&gt;13h30</t>
  </si>
  <si>
    <t>Rapport d'audit système de management de la qualité</t>
  </si>
  <si>
    <t>PS13.5-F3 Ind. 2</t>
  </si>
  <si>
    <t>Synthèse</t>
  </si>
  <si>
    <t>Site</t>
  </si>
  <si>
    <t xml:space="preserve">SCEET Tunisie </t>
  </si>
  <si>
    <t>Périmètre</t>
  </si>
  <si>
    <t>Tous les processus</t>
  </si>
  <si>
    <t>Dates</t>
  </si>
  <si>
    <t>Référentiels</t>
  </si>
  <si>
    <t>ISO 9001 &amp; IATF 16949:2016 // CSR VALEO  //CSR NIDEC//CSR INTEVA // CSR Pierburg  / SMQ interne  /SI /FAQ + CSR  + CORE TOOLS</t>
  </si>
  <si>
    <t>Auditeur(s)</t>
  </si>
  <si>
    <t>LA: Jalel Dammak /Anis Othmani</t>
  </si>
  <si>
    <t>Liste des écarts</t>
  </si>
  <si>
    <t>Exigence IATF 16949</t>
  </si>
  <si>
    <t>Points audités</t>
  </si>
  <si>
    <t>Ecart constaté</t>
  </si>
  <si>
    <t>nc</t>
  </si>
  <si>
    <t xml:space="preserve">NC </t>
  </si>
  <si>
    <t>Recommandations d'amélioration</t>
  </si>
  <si>
    <t>Propriétaire</t>
  </si>
  <si>
    <t xml:space="preserve">Action de correction </t>
  </si>
  <si>
    <t>Pilote</t>
  </si>
  <si>
    <t>Délai</t>
  </si>
  <si>
    <t xml:space="preserve">Cause racine 
Analyse 5 pourquoi </t>
  </si>
  <si>
    <t>Action de corrective</t>
  </si>
  <si>
    <t>Mesure d'efficacité</t>
  </si>
  <si>
    <t>Total général</t>
  </si>
  <si>
    <t>P1 Leadership</t>
  </si>
  <si>
    <t>4.1</t>
  </si>
  <si>
    <t>Compréhension de L'organisme et son contexte</t>
  </si>
  <si>
    <t xml:space="preserve">"Plan d’action 2022:
	Develop automatic autogluing SAME .
	Develop Business Unit organization 
	...
Interaction avec la RL LUX :
-	Lettre de mission date 26/11/2021 émis par AVO LUX.
-	Budget meeting Nov 2021 Amiens. 
-	2022 Budget meeting November 16 – 19, 2021. 
-	Agenda 16 – 19/11/2021.
Plan stratégie SCEET 2021 – 2023 
KPIs :
EBITDA // 2021 : Object &gt; 7% - Résultat = '-3%. // 
Taux de satisfaction client pas à l'objectif
===&gt;Plan d'actions taux de satifaction VALEO  QIP VALEO
Revue Mensuelle des KPIs par process date 25/01/2022.
Revue de direction date 04/02/2022.
Analye SWOT date 13/03/2022
PIP
Plan d'urgence et sécurisation "			
			</t>
  </si>
  <si>
    <t>Imed B,ALAYA</t>
  </si>
  <si>
    <t>4.2</t>
  </si>
  <si>
    <t>Parties intéréssées pertinentes et suivi de leurs besoins et attentes</t>
  </si>
  <si>
    <t>5.2</t>
  </si>
  <si>
    <t>Politique qualité</t>
  </si>
  <si>
    <t>4.4.1/6.1</t>
  </si>
  <si>
    <t xml:space="preserve">Risques et opportunités liées au processus avec plan d'action préventif  associés
Partie intéréssées pertinentes et définition de leurs exigences pertinentes </t>
  </si>
  <si>
    <t>4.4.1</t>
  </si>
  <si>
    <t>Plan de sécurisation et d'urgence P1.Fo.S3.01  Ind. 2</t>
  </si>
  <si>
    <t>Le plan d'urgence ne prend pas à compte les derniers exigences SI de la norme IATF  (formation des individus sur lr plan d urgence )</t>
  </si>
  <si>
    <t xml:space="preserve">Mise à jour de plan d'urgence P1.Fo.S3.01  Ind. 2 en tenant compte de dernier exigence </t>
  </si>
  <si>
    <t xml:space="preserve">Mariem Ben Youssef </t>
  </si>
  <si>
    <t xml:space="preserve">1 Pas de MAJ Systémique de paln d'urgence lors de modification 
2, la e fréquence definie dans le processus P1 est annuelle  
3 Fréquence d audit ne prend pas en considération la fréquence de revue de CSR et des SI 
</t>
  </si>
  <si>
    <t xml:space="preserve">Mettre à jour P1 : définir la fréquence de revue en accord avec des revues des CSR et des SI  </t>
  </si>
  <si>
    <t>Anis Othmani</t>
  </si>
  <si>
    <t xml:space="preserve">Action efficace , pas d’ecart suite audit spécial </t>
  </si>
  <si>
    <t>5.1.1.1</t>
  </si>
  <si>
    <t>Politique anti-corruption</t>
  </si>
  <si>
    <t>5.3.1</t>
  </si>
  <si>
    <t>Rôles, responsabilités et autorités</t>
  </si>
  <si>
    <t>9.3</t>
  </si>
  <si>
    <t>Revue de direction</t>
  </si>
  <si>
    <t>P3 SMQ &amp; Amélioration en continu</t>
  </si>
  <si>
    <t>6.2</t>
  </si>
  <si>
    <t>Objectif processus et sa planification dans le plan stratégique</t>
  </si>
  <si>
    <t xml:space="preserve">Taux d’atteinte des objectifs 
Objectif =67% - Résultat = 75%.
CNQ = 3k 
Portal Valeo SRM 
Incident 04/2021.
The capacitor is in contact with the hooks of the commutator </t>
  </si>
  <si>
    <t>9.1/10.2</t>
  </si>
  <si>
    <t xml:space="preserve">KPI's processus et plan d'action associés : 
</t>
  </si>
  <si>
    <t>7.5.1.1</t>
  </si>
  <si>
    <t>Manuel Qualité</t>
  </si>
  <si>
    <t>9.2/9.2.2.1</t>
  </si>
  <si>
    <t xml:space="preserve">Audits internes </t>
  </si>
  <si>
    <t>La planification des audits n’est pas totalement efficace Evidence: Une procédure documentée pour la gestion des audits produit ne prend pas en considération quelques critères de planification de l'audit : Criticité de processus,..Tout les processus sont audités avec le meme degré d'importance</t>
  </si>
  <si>
    <t>Refaire la  planification des audits selon les critères de planification et  prise en compte de la criticité des processus.</t>
  </si>
  <si>
    <t xml:space="preserve">_Non prise en compte de la criticité des processus durant la planification des audits
_Pas de revue systémique de la planification des audits selon les résultats N-1
_Revue et critères de planification non définit dans la procédure de gestion des audits </t>
  </si>
  <si>
    <t>Définir les critères de planification des audits dans la ‘’Procédure S13 : Audit et évaluation de la performance’’ et faire une revue annuelle selon les résultats d’audit N-1</t>
  </si>
  <si>
    <t>Pas d’écart de planification des audits durant l’audit de suivi.Planning d’audit 2022  est conforme aux exigences et aux critères de planification 
 Nous déterminons que les actions correctives sont efficace</t>
  </si>
  <si>
    <t>10.2</t>
  </si>
  <si>
    <t>Traitement des réclamations client sur les portais clients</t>
  </si>
  <si>
    <t>QRQC Ligne</t>
  </si>
  <si>
    <t xml:space="preserve">"QRQC Ligne MNG2 : Objectifs non clairs 
		</t>
  </si>
  <si>
    <t>Mettre en place les nouveaux objectifs par ligne et revoir les objectifs scrap ligne par équipe et par semaine</t>
  </si>
  <si>
    <t>1,Objectifs scrap non mis à jour par ligne selon la période
2, Pas de revue systémique des objectifs scrap dans QRQC
3, Pas d’information documenté dans SMQ pour le revue périodique des objectifs</t>
  </si>
  <si>
    <t xml:space="preserve">Réaliser un revue systémique des objectifs qualité selon les derniers résultats
Mettre à jour l’instruction de conduite QRQC P3,In,S3,14 </t>
  </si>
  <si>
    <t xml:space="preserve">des zones QRQC et une salle QRQC sont dédiés pour organiser le procédure QRQC . 
Nous pouvons dire que les actions sont efficaces </t>
  </si>
  <si>
    <t>7.1.5</t>
  </si>
  <si>
    <t>Programme d'étalonnage</t>
  </si>
  <si>
    <t>Certificats d'étalonnage</t>
  </si>
  <si>
    <t>Preuves d'accréditation des organismes d'étalonnage</t>
  </si>
  <si>
    <t>Fiche de vie moyen</t>
  </si>
  <si>
    <t>9.2.2.1</t>
  </si>
  <si>
    <t xml:space="preserve"> La planification des audits n’est pas totalement efficace
Evidence: Une procédure documentée pour la gestion des audits produit ne prend pas en concidérationquelques critères de planification de l'audit : Criticité de processus,Tout les processus sont audités avec le meme degré d'importance</t>
  </si>
  <si>
    <t xml:space="preserve">C1 Prospection et offre commerciale:  RL AvoCarbon France </t>
  </si>
  <si>
    <t xml:space="preserve">C3 Conception produit: RL AvoCarbon France  &amp; AvoCarbon Poitiers </t>
  </si>
  <si>
    <t>C4 Industrialisation, déploiement et conception process  RL AvoCarbon France &amp; AvoCarbon Kunshan (Process Design)</t>
  </si>
  <si>
    <t>9.1</t>
  </si>
  <si>
    <t>Taux de respect planing des EI  = 100% - Résultat = 100%.
Taux du respect du planning PPAP - Objectif = 90% - Résultat = 100%.
Nombre de reclamation en phase projet  - Objectif =0 - Résultat =0</t>
  </si>
  <si>
    <t xml:space="preserve">Projet Buack up antenna 
Template of feasability study  back up antenna  date 30/04/2020.
</t>
  </si>
  <si>
    <t xml:space="preserve">Sadok Djebbi </t>
  </si>
  <si>
    <t>C5 Logistique et Approvisionnement</t>
  </si>
  <si>
    <t xml:space="preserve">Taux de service 2021 – Objectif 100% - Resultat =87% 
</t>
  </si>
  <si>
    <t xml:space="preserve">Plan d'action pour l'objectif 2021 non atteint 
</t>
  </si>
  <si>
    <t xml:space="preserve">Wafa khalifa </t>
  </si>
  <si>
    <t>6.1</t>
  </si>
  <si>
    <t>8.4.5.2</t>
  </si>
  <si>
    <t>Développement des prestataires externes</t>
  </si>
  <si>
    <t>8.7.1.2</t>
  </si>
  <si>
    <t>Maitrise du produit non-conforme</t>
  </si>
  <si>
    <t>8.7.1.3</t>
  </si>
  <si>
    <t>Maitrise du produit douteux</t>
  </si>
  <si>
    <t>C6 Production</t>
  </si>
  <si>
    <t>KPIs 
Efficience : Objectif = 95% - Résultat 96%.
PPM Interne : Objectif = 3000 – Résultat =2701
Changements d'équipe : Passation faite entre les deux chefs d'equipe et les opérateurs en accord au standaard existant.</t>
  </si>
  <si>
    <t>8.5.1.6</t>
  </si>
  <si>
    <t>Gestion des outillages de production et des équipements et outillages de test, contrôle en fabrication</t>
  </si>
  <si>
    <t xml:space="preserve">S1 ACHAT </t>
  </si>
  <si>
    <t>4.3; 4.4; 6.1; 6.2; 6.3;7.5;8.4;8.79.1.1; 9.1.3</t>
  </si>
  <si>
    <t>Sélection des prestataires externes Poitiers</t>
  </si>
  <si>
    <t>Sélection des prestataires externes</t>
  </si>
  <si>
    <t>S3 Maintenance des moyens et infrastructure</t>
  </si>
  <si>
    <t xml:space="preserve">KPIs 
Taux de disponibilité ; Resultat =  98,5  %   Objectif = 99 %
 Cout de maintenance  Resultat =  ≤ 0,44%     Objectif = 0,37%
Taux réalisation planning préventif  Resultat =   85%    Objectif = 85%
</t>
  </si>
  <si>
    <t>Kamel M,</t>
  </si>
  <si>
    <t>8.5.1.5</t>
  </si>
  <si>
    <t>Planning de maintenance préventive sur GMAO avec enregsitrement des actions de maintenan ce préventive</t>
  </si>
  <si>
    <t>Demandes d'interventions en cas de panne sur GMAO effectuée par les producteurs</t>
  </si>
  <si>
    <t>Enregistrement de l'action de maintenance curative sur GMAO par le technicien maintenance</t>
  </si>
  <si>
    <t xml:space="preserve">Liste des équipements </t>
  </si>
  <si>
    <t>TPM : total productive maintenance
Exigence IATF: L’organisme doit développer, mettre en oeuvre et gérer un processus TPM documenté.</t>
  </si>
  <si>
    <t>_ TPM: sélection et choix de la liste des pièces de rechange n’est pas totalement efficace
Evidence: Les critères selon lesquels la liste des pièces de rechange a été élaborée ne sont pas définis</t>
  </si>
  <si>
    <t>Mettre à jour la liste des pièces de rechange selon des critères bien définis.</t>
  </si>
  <si>
    <t>MAN</t>
  </si>
  <si>
    <t xml:space="preserve">1. Liste des critères de choix et selection des PDR n’est pas définie
2, Critéres de choix et sélection ne sont pas formalisés et définies avec l'experience de service maintenance. 
3.Pas de procédure décrivant les  critères de choix et selection des PDR
. </t>
  </si>
  <si>
    <t>Mettre à jour le processus S3 en ajoutant
Liste des pièces
de rechange définit selon la définition des équipement critiques 
Selon l'historique des pannes et des interventions maintenance,</t>
  </si>
  <si>
    <t>TPM pratiqué et formalisé 
Liste des pièces de rechange disponible
===&gt;Pas de reccurence détectée</t>
  </si>
  <si>
    <t>Liste des PDR avec suivi du stock mini</t>
  </si>
  <si>
    <t>S8 Gestion du personnel et des compétences</t>
  </si>
  <si>
    <t xml:space="preserve">KPI's processus et plan d'action associés
Absentéisme // Objectif = 4,4 % - Résultat = 3,59% ;
Taux de realisation de formation // Objectif =80% - Résultat = 72%.
AT = 1.
</t>
  </si>
  <si>
    <t xml:space="preserve">Maher kamoun </t>
  </si>
  <si>
    <t>7.1.2</t>
  </si>
  <si>
    <t>Recrutement : Procédure de recrutement</t>
  </si>
  <si>
    <t>7.3.2</t>
  </si>
  <si>
    <t>L’organisme doit tenir à jour un (des) processus documenté(s) pour motiver le personnel afin d'atteindre les objectifs qualité</t>
  </si>
  <si>
    <t>Total</t>
  </si>
  <si>
    <t>non-conformité mineure</t>
  </si>
  <si>
    <t>Non-Conformité majeure</t>
  </si>
  <si>
    <t>Evidences / Documents audités</t>
  </si>
  <si>
    <t>Norme</t>
  </si>
  <si>
    <t>Organigramme SCEET</t>
  </si>
  <si>
    <t>IATF16949v2016</t>
  </si>
  <si>
    <t>Tableau de bord qualité KPI PP2-I6 ind 1</t>
  </si>
  <si>
    <t>Revue de Direction 2019</t>
  </si>
  <si>
    <t xml:space="preserve">CSR NIDEC/ Valeo/INTEVA et Pierburg </t>
  </si>
  <si>
    <t>Dossier de fabrication Flex 397</t>
  </si>
  <si>
    <t>Changement d'équipe audité - fiche de passation d'équipe audité</t>
  </si>
  <si>
    <t>Programme d'Audit process et produit  audité</t>
  </si>
  <si>
    <t>scorecards NIDEC/INTEVA et Valeo</t>
  </si>
  <si>
    <t>Autres évidence dans le plan d'action</t>
  </si>
  <si>
    <t>Toutes les étapes de production depuis l'incoming jusqu'au shipping Référence 397 Flex</t>
  </si>
  <si>
    <t>Veille documentaire sur les CSRs</t>
  </si>
  <si>
    <t>Plan d'urgence</t>
  </si>
  <si>
    <t>Matrice de Polyvalence</t>
  </si>
  <si>
    <t>Plan de formation</t>
  </si>
  <si>
    <t>Plan d'intégration</t>
  </si>
  <si>
    <t>Politique qualité et politique anticorruption</t>
  </si>
  <si>
    <t>Points forts</t>
  </si>
  <si>
    <t xml:space="preserve">Processus Ressources Humaines </t>
  </si>
  <si>
    <t>Implication du personnel, sa disponibilité</t>
  </si>
  <si>
    <t xml:space="preserve">Processus Production </t>
  </si>
  <si>
    <t>Système de traçabilité QMES</t>
  </si>
  <si>
    <t>Un savoir-faire et une bonne maitrise technique des processus de fabrication.</t>
  </si>
  <si>
    <t>Chapitres</t>
  </si>
  <si>
    <t>Process Name</t>
  </si>
  <si>
    <t>4.1 + 4.2</t>
  </si>
  <si>
    <t>4.3 + 4. 4</t>
  </si>
  <si>
    <t>5.1</t>
  </si>
  <si>
    <t>5.3</t>
  </si>
  <si>
    <t>6.1 + 6.2 + 6.3</t>
  </si>
  <si>
    <t>7.1</t>
  </si>
  <si>
    <t>7.2 + 7.3</t>
  </si>
  <si>
    <t>7.4</t>
  </si>
  <si>
    <t>7.5</t>
  </si>
  <si>
    <t>8.1</t>
  </si>
  <si>
    <t>8.2</t>
  </si>
  <si>
    <t>8.3</t>
  </si>
  <si>
    <t>8.4</t>
  </si>
  <si>
    <t>8.5</t>
  </si>
  <si>
    <t>8.6</t>
  </si>
  <si>
    <t>8.7</t>
  </si>
  <si>
    <t>9.2</t>
  </si>
  <si>
    <t>10.1</t>
  </si>
  <si>
    <t>10.3</t>
  </si>
  <si>
    <t xml:space="preserve">Leadership </t>
  </si>
  <si>
    <t>x</t>
  </si>
  <si>
    <t xml:space="preserve">SMQ &amp; CIP </t>
  </si>
  <si>
    <t>Prospection et offre commercial (RL)</t>
  </si>
  <si>
    <t>Conception produit (RL)</t>
  </si>
  <si>
    <t xml:space="preserve">Industrialisation, deploiment et conception  process </t>
  </si>
  <si>
    <t>Logistique</t>
  </si>
  <si>
    <t>Production</t>
  </si>
  <si>
    <t xml:space="preserve">Achat </t>
  </si>
  <si>
    <t>Maintenance &amp; infrastructures</t>
  </si>
  <si>
    <t>Ressources Humaines</t>
  </si>
  <si>
    <t>Présence</t>
  </si>
  <si>
    <t>Réunion d'ouverture</t>
  </si>
  <si>
    <t>Réunion de cloture</t>
  </si>
  <si>
    <t>Maher Kamoun</t>
  </si>
  <si>
    <t>Farouk Ben Youssef</t>
  </si>
  <si>
    <t>salah B.A</t>
  </si>
  <si>
    <t xml:space="preserve">Lassad Charaabi </t>
  </si>
  <si>
    <t xml:space="preserve">Sami touihri </t>
  </si>
  <si>
    <t>Riadh Nefzi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</si>
</sst>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40">
    <font>
      <sz val="10"/>
      <name val="Arial"/>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16"/>
      <name val="Times New Roman"/>
      <family val="1"/>
    </font>
    <font>
      <b/>
      <sz val="10"/>
      <name val="Arial"/>
      <family val="2"/>
    </font>
    <font>
      <sz val="8"/>
      <name val="Arial"/>
      <family val="2"/>
    </font>
    <font>
      <b/>
      <sz val="9"/>
      <name val="Times New Roman"/>
      <family val="1"/>
    </font>
    <font>
      <sz val="9"/>
      <name val="Times New Roman"/>
      <family val="1"/>
    </font>
    <font>
      <u/>
      <sz val="10"/>
      <color indexed="12"/>
      <name val="Arial"/>
      <family val="2"/>
    </font>
    <font>
      <sz val="9"/>
      <color theme="1"/>
      <name val="Times New Roman"/>
      <family val="1"/>
    </font>
    <font>
      <b/>
      <sz val="11"/>
      <color theme="1"/>
      <name val="Arial"/>
      <family val="2"/>
    </font>
    <font>
      <sz val="9"/>
      <color theme="1"/>
      <name val="Arial"/>
      <family val="2"/>
    </font>
    <font>
      <sz val="10"/>
      <name val="Times New Roman"/>
      <family val="1"/>
    </font>
    <font>
      <sz val="11"/>
      <color theme="1"/>
      <name val="Arial"/>
      <family val="2"/>
    </font>
    <font>
      <b/>
      <sz val="16"/>
      <name val="Arial"/>
      <family val="2"/>
    </font>
    <font>
      <b/>
      <sz val="12"/>
      <name val="Arial"/>
      <family val="2"/>
    </font>
    <font>
      <b/>
      <sz val="10"/>
      <color indexed="8"/>
      <name val="Arial"/>
      <family val="2"/>
    </font>
    <font>
      <b/>
      <i/>
      <sz val="10"/>
      <color indexed="8"/>
      <name val="Arial"/>
      <family val="2"/>
    </font>
    <font>
      <sz val="10"/>
      <color indexed="8"/>
      <name val="Arial"/>
      <family val="2"/>
    </font>
    <font>
      <b/>
      <sz val="10"/>
      <color theme="0"/>
      <name val="Arial"/>
      <family val="2"/>
    </font>
    <font>
      <b/>
      <sz val="10"/>
      <color rgb="FFFF0000"/>
      <name val="Arial"/>
      <family val="2"/>
    </font>
    <font>
      <b/>
      <sz val="14"/>
      <color rgb="FF0000FF"/>
      <name val="Calibri"/>
      <family val="2"/>
      <scheme val="minor"/>
    </font>
    <font>
      <b/>
      <sz val="8"/>
      <color theme="0"/>
      <name val="Arial"/>
      <family val="2"/>
    </font>
    <font>
      <sz val="11"/>
      <name val="Calibri"/>
      <family val="2"/>
      <scheme val="minor"/>
    </font>
    <font>
      <b/>
      <i/>
      <sz val="11"/>
      <color theme="4" tint="-0.499984740745262"/>
      <name val="Calibri"/>
      <family val="2"/>
      <scheme val="minor"/>
    </font>
    <font>
      <b/>
      <i/>
      <sz val="9"/>
      <color theme="4" tint="-0.499984740745262"/>
      <name val="Calibri"/>
      <family val="2"/>
      <scheme val="minor"/>
    </font>
    <font>
      <sz val="10"/>
      <name val="Arial"/>
      <family val="2"/>
    </font>
    <font>
      <b/>
      <sz val="11"/>
      <name val="Calibri"/>
      <family val="2"/>
      <charset val="1"/>
    </font>
    <font>
      <b/>
      <i/>
      <sz val="11"/>
      <name val="Arial"/>
      <family val="2"/>
    </font>
    <font>
      <sz val="10"/>
      <color rgb="FF000000"/>
      <name val="Arial"/>
      <family val="2"/>
    </font>
    <font>
      <sz val="11"/>
      <name val="Arial"/>
      <family val="2"/>
    </font>
    <font>
      <b/>
      <i/>
      <sz val="12"/>
      <name val="Cambria"/>
      <family val="1"/>
    </font>
    <font>
      <b/>
      <i/>
      <sz val="10"/>
      <color rgb="FF000000"/>
      <name val="Arial"/>
      <family val="2"/>
    </font>
    <font>
      <b/>
      <sz val="10"/>
      <color rgb="FF000000"/>
      <name val="Arial"/>
      <family val="2"/>
    </font>
    <font>
      <b/>
      <u/>
      <sz val="9"/>
      <color rgb="FF000000"/>
      <name val="Times New Roman"/>
    </font>
    <font>
      <sz val="9"/>
      <color rgb="FF000000"/>
      <name val="Times New Roman"/>
    </font>
    <font>
      <b/>
      <sz val="9"/>
      <color rgb="FF000000"/>
      <name val="Times New Roman"/>
    </font>
  </fonts>
  <fills count="14">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indexed="43"/>
        <bgColor indexed="64"/>
      </patternFill>
    </fill>
    <fill>
      <patternFill patternType="solid">
        <fgColor theme="4"/>
        <bgColor indexed="64"/>
      </patternFill>
    </fill>
    <fill>
      <patternFill patternType="solid">
        <fgColor theme="4"/>
        <bgColor theme="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99"/>
        <bgColor indexed="64"/>
      </patternFill>
    </fill>
  </fills>
  <borders count="67">
    <border>
      <left/>
      <right/>
      <top/>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s>
  <cellStyleXfs count="9">
    <xf numFmtId="0" fontId="0" fillId="0" borderId="0"/>
    <xf numFmtId="0" fontId="11" fillId="0" borderId="0" applyNumberFormat="0" applyFill="0" applyBorder="0" applyAlignment="0" applyProtection="0">
      <alignment vertical="top"/>
      <protection locked="0"/>
    </xf>
    <xf numFmtId="0" fontId="1" fillId="0" borderId="0"/>
    <xf numFmtId="164" fontId="5" fillId="0" borderId="0" applyFont="0" applyFill="0" applyBorder="0" applyAlignment="0" applyProtection="0"/>
    <xf numFmtId="0" fontId="5" fillId="0" borderId="0"/>
    <xf numFmtId="9" fontId="5" fillId="0" borderId="0" applyFont="0" applyFill="0" applyBorder="0" applyAlignment="0" applyProtection="0"/>
    <xf numFmtId="0" fontId="29" fillId="0" borderId="0"/>
    <xf numFmtId="0" fontId="5" fillId="0" borderId="0"/>
    <xf numFmtId="0" fontId="5" fillId="0" borderId="0"/>
  </cellStyleXfs>
  <cellXfs count="389">
    <xf numFmtId="0" fontId="0" fillId="0" borderId="0" xfId="0"/>
    <xf numFmtId="0" fontId="0" fillId="0" borderId="0" xfId="0" applyAlignment="1">
      <alignment horizontal="center" vertical="center"/>
    </xf>
    <xf numFmtId="0" fontId="7" fillId="0" borderId="0" xfId="0" applyFont="1" applyAlignment="1">
      <alignment horizontal="right" vertical="center"/>
    </xf>
    <xf numFmtId="0" fontId="8" fillId="0" borderId="0" xfId="0" applyFont="1" applyAlignment="1">
      <alignment horizontal="right" vertical="center"/>
    </xf>
    <xf numFmtId="14" fontId="10" fillId="2" borderId="3" xfId="0" applyNumberFormat="1" applyFont="1" applyFill="1" applyBorder="1" applyAlignment="1">
      <alignment horizontal="center" vertical="center"/>
    </xf>
    <xf numFmtId="0" fontId="13" fillId="0" borderId="0" xfId="0" applyFont="1"/>
    <xf numFmtId="0" fontId="14" fillId="0" borderId="0" xfId="0" applyFont="1" applyAlignment="1">
      <alignment horizontal="left" indent="2"/>
    </xf>
    <xf numFmtId="0" fontId="15" fillId="0" borderId="0" xfId="0" applyFont="1"/>
    <xf numFmtId="0" fontId="5" fillId="0" borderId="0" xfId="0" applyFont="1"/>
    <xf numFmtId="0" fontId="16" fillId="0" borderId="0" xfId="0" applyFont="1" applyAlignment="1">
      <alignment horizontal="left" indent="2"/>
    </xf>
    <xf numFmtId="14" fontId="10" fillId="0" borderId="3" xfId="0" applyNumberFormat="1" applyFont="1" applyBorder="1" applyAlignment="1">
      <alignment horizontal="center" vertical="center"/>
    </xf>
    <xf numFmtId="0" fontId="24" fillId="0" borderId="3" xfId="0" applyFont="1" applyBorder="1"/>
    <xf numFmtId="0" fontId="0" fillId="0" borderId="3" xfId="0" applyBorder="1"/>
    <xf numFmtId="0" fontId="24" fillId="0" borderId="0" xfId="0" applyFont="1"/>
    <xf numFmtId="0" fontId="3" fillId="0" borderId="0" xfId="0" applyFont="1"/>
    <xf numFmtId="0" fontId="1" fillId="0" borderId="0" xfId="2"/>
    <xf numFmtId="0" fontId="2" fillId="8" borderId="24" xfId="0" applyFont="1" applyFill="1" applyBorder="1" applyAlignment="1">
      <alignment wrapText="1"/>
    </xf>
    <xf numFmtId="0" fontId="25" fillId="8" borderId="10" xfId="0" applyFont="1" applyFill="1" applyBorder="1" applyAlignment="1">
      <alignment horizontal="right" vertical="top" textRotation="90" wrapText="1"/>
    </xf>
    <xf numFmtId="0" fontId="25" fillId="8" borderId="48" xfId="0" applyFont="1" applyFill="1" applyBorder="1" applyAlignment="1">
      <alignment horizontal="right" vertical="top" textRotation="90" wrapText="1"/>
    </xf>
    <xf numFmtId="0" fontId="26" fillId="9" borderId="8" xfId="0" applyFont="1" applyFill="1" applyBorder="1" applyAlignment="1">
      <alignment vertical="center" wrapText="1"/>
    </xf>
    <xf numFmtId="0" fontId="26" fillId="9" borderId="3" xfId="0" applyFont="1" applyFill="1" applyBorder="1" applyAlignment="1">
      <alignment horizontal="center" vertical="center" wrapText="1"/>
    </xf>
    <xf numFmtId="0" fontId="26" fillId="10" borderId="3" xfId="0" applyFont="1" applyFill="1" applyBorder="1" applyAlignment="1">
      <alignment vertical="center" wrapText="1"/>
    </xf>
    <xf numFmtId="0" fontId="26" fillId="10" borderId="3" xfId="0" applyFont="1" applyFill="1" applyBorder="1" applyAlignment="1">
      <alignment horizontal="center" vertical="center" wrapText="1"/>
    </xf>
    <xf numFmtId="0" fontId="26" fillId="9" borderId="3" xfId="0" applyFont="1" applyFill="1" applyBorder="1" applyAlignment="1">
      <alignment vertical="center" wrapText="1"/>
    </xf>
    <xf numFmtId="0" fontId="26" fillId="9" borderId="3" xfId="0" applyFont="1" applyFill="1" applyBorder="1" applyAlignment="1">
      <alignment vertical="top" wrapText="1"/>
    </xf>
    <xf numFmtId="0" fontId="26" fillId="0" borderId="3" xfId="0" applyFont="1" applyBorder="1" applyAlignment="1">
      <alignment vertical="center" wrapText="1"/>
    </xf>
    <xf numFmtId="0" fontId="26" fillId="0" borderId="3" xfId="0" applyFont="1" applyBorder="1" applyAlignment="1">
      <alignment horizontal="center" vertical="center" wrapText="1"/>
    </xf>
    <xf numFmtId="0" fontId="1" fillId="0" borderId="0" xfId="2" applyAlignment="1">
      <alignment horizontal="center" vertical="center"/>
    </xf>
    <xf numFmtId="0" fontId="27" fillId="0" borderId="0" xfId="0" applyFont="1"/>
    <xf numFmtId="0" fontId="28" fillId="11" borderId="3" xfId="0" applyFont="1" applyFill="1" applyBorder="1"/>
    <xf numFmtId="0" fontId="10" fillId="2" borderId="3" xfId="0" applyFont="1" applyFill="1" applyBorder="1" applyAlignment="1">
      <alignment horizontal="center" vertical="center"/>
    </xf>
    <xf numFmtId="0" fontId="9" fillId="0" borderId="3" xfId="0" applyFont="1" applyBorder="1" applyAlignment="1">
      <alignment horizontal="center" vertical="center"/>
    </xf>
    <xf numFmtId="0" fontId="0" fillId="0" borderId="50" xfId="0" applyBorder="1"/>
    <xf numFmtId="0" fontId="0" fillId="0" borderId="7" xfId="0" applyBorder="1"/>
    <xf numFmtId="0" fontId="0" fillId="0" borderId="51" xfId="0" applyBorder="1"/>
    <xf numFmtId="0" fontId="30" fillId="0" borderId="0" xfId="0" applyFont="1"/>
    <xf numFmtId="0" fontId="5" fillId="0" borderId="11" xfId="7" applyBorder="1"/>
    <xf numFmtId="0" fontId="5" fillId="0" borderId="4" xfId="7" applyBorder="1"/>
    <xf numFmtId="0" fontId="5" fillId="0" borderId="0" xfId="7"/>
    <xf numFmtId="0" fontId="17" fillId="0" borderId="0" xfId="7" applyFont="1" applyAlignment="1">
      <alignment horizontal="center"/>
    </xf>
    <xf numFmtId="0" fontId="5" fillId="0" borderId="12" xfId="7" applyBorder="1"/>
    <xf numFmtId="0" fontId="5" fillId="0" borderId="9" xfId="7" applyBorder="1"/>
    <xf numFmtId="14" fontId="5" fillId="0" borderId="0" xfId="7" applyNumberFormat="1" applyAlignment="1">
      <alignment horizontal="right" vertical="top"/>
    </xf>
    <xf numFmtId="0" fontId="18" fillId="0" borderId="0" xfId="7" applyFont="1"/>
    <xf numFmtId="0" fontId="5" fillId="0" borderId="0" xfId="7" applyAlignment="1">
      <alignment horizontal="left"/>
    </xf>
    <xf numFmtId="0" fontId="5" fillId="0" borderId="3" xfId="7" applyBorder="1"/>
    <xf numFmtId="14" fontId="5" fillId="0" borderId="3" xfId="7" applyNumberFormat="1" applyBorder="1" applyAlignment="1">
      <alignment horizontal="left"/>
    </xf>
    <xf numFmtId="14" fontId="5" fillId="0" borderId="3" xfId="7" applyNumberFormat="1" applyBorder="1"/>
    <xf numFmtId="0" fontId="31" fillId="3" borderId="3" xfId="7" applyFont="1" applyFill="1" applyBorder="1" applyAlignment="1">
      <alignment horizontal="left"/>
    </xf>
    <xf numFmtId="0" fontId="31" fillId="3" borderId="3" xfId="7" applyFont="1" applyFill="1" applyBorder="1"/>
    <xf numFmtId="0" fontId="31" fillId="3" borderId="0" xfId="7" applyFont="1" applyFill="1"/>
    <xf numFmtId="0" fontId="5" fillId="0" borderId="3" xfId="7" applyBorder="1" applyAlignment="1">
      <alignment horizontal="left"/>
    </xf>
    <xf numFmtId="0" fontId="7" fillId="4" borderId="0" xfId="7" applyFont="1" applyFill="1"/>
    <xf numFmtId="0" fontId="5" fillId="0" borderId="0" xfId="7" applyAlignment="1">
      <alignment wrapText="1"/>
    </xf>
    <xf numFmtId="0" fontId="19" fillId="0" borderId="15" xfId="7" applyFont="1" applyBorder="1" applyAlignment="1">
      <alignment vertical="center" wrapText="1"/>
    </xf>
    <xf numFmtId="0" fontId="19" fillId="0" borderId="17" xfId="7" applyFont="1" applyBorder="1" applyAlignment="1">
      <alignment horizontal="center" vertical="center" wrapText="1"/>
    </xf>
    <xf numFmtId="0" fontId="19" fillId="3" borderId="18" xfId="7" applyFont="1" applyFill="1" applyBorder="1" applyAlignment="1">
      <alignment vertical="center" wrapText="1"/>
    </xf>
    <xf numFmtId="0" fontId="19" fillId="5" borderId="18" xfId="7" applyFont="1" applyFill="1" applyBorder="1" applyAlignment="1">
      <alignment vertical="center" wrapText="1"/>
    </xf>
    <xf numFmtId="0" fontId="19" fillId="0" borderId="16" xfId="7" applyFont="1" applyBorder="1" applyAlignment="1">
      <alignment horizontal="center" wrapText="1"/>
    </xf>
    <xf numFmtId="0" fontId="19" fillId="0" borderId="18" xfId="7" applyFont="1" applyBorder="1" applyAlignment="1">
      <alignment horizontal="center" wrapText="1"/>
    </xf>
    <xf numFmtId="0" fontId="19" fillId="0" borderId="18" xfId="7" applyFont="1" applyBorder="1" applyAlignment="1">
      <alignment wrapText="1"/>
    </xf>
    <xf numFmtId="0" fontId="19" fillId="0" borderId="16" xfId="7" applyFont="1" applyBorder="1" applyAlignment="1">
      <alignment wrapText="1"/>
    </xf>
    <xf numFmtId="0" fontId="19" fillId="0" borderId="15" xfId="7" applyFont="1" applyBorder="1" applyAlignment="1">
      <alignment horizontal="center" wrapText="1"/>
    </xf>
    <xf numFmtId="0" fontId="19" fillId="0" borderId="19" xfId="7" applyFont="1" applyBorder="1" applyAlignment="1">
      <alignment wrapText="1"/>
    </xf>
    <xf numFmtId="0" fontId="19" fillId="0" borderId="0" xfId="7" applyFont="1" applyAlignment="1">
      <alignment wrapText="1"/>
    </xf>
    <xf numFmtId="0" fontId="19" fillId="0" borderId="8" xfId="7" applyFont="1" applyBorder="1" applyAlignment="1">
      <alignment wrapText="1"/>
    </xf>
    <xf numFmtId="0" fontId="19" fillId="0" borderId="21" xfId="7" applyFont="1" applyBorder="1" applyAlignment="1">
      <alignment wrapText="1"/>
    </xf>
    <xf numFmtId="0" fontId="19" fillId="0" borderId="22" xfId="7" applyFont="1" applyBorder="1" applyAlignment="1">
      <alignment wrapText="1"/>
    </xf>
    <xf numFmtId="0" fontId="19" fillId="0" borderId="6" xfId="7" applyFont="1" applyBorder="1" applyAlignment="1">
      <alignment wrapText="1"/>
    </xf>
    <xf numFmtId="0" fontId="19" fillId="0" borderId="23" xfId="7" applyFont="1" applyBorder="1" applyAlignment="1">
      <alignment wrapText="1"/>
    </xf>
    <xf numFmtId="0" fontId="19" fillId="0" borderId="7" xfId="7" applyFont="1" applyBorder="1" applyAlignment="1">
      <alignment wrapText="1"/>
    </xf>
    <xf numFmtId="0" fontId="19" fillId="6" borderId="16" xfId="7" applyFont="1" applyFill="1" applyBorder="1" applyAlignment="1">
      <alignment wrapText="1"/>
    </xf>
    <xf numFmtId="0" fontId="19" fillId="6" borderId="18" xfId="7" applyFont="1" applyFill="1" applyBorder="1" applyAlignment="1">
      <alignment wrapText="1"/>
    </xf>
    <xf numFmtId="0" fontId="19" fillId="6" borderId="24" xfId="7" applyFont="1" applyFill="1" applyBorder="1" applyAlignment="1">
      <alignment wrapText="1"/>
    </xf>
    <xf numFmtId="0" fontId="19" fillId="6" borderId="19" xfId="7" applyFont="1" applyFill="1" applyBorder="1" applyAlignment="1">
      <alignment wrapText="1"/>
    </xf>
    <xf numFmtId="0" fontId="19" fillId="0" borderId="20" xfId="7" applyFont="1" applyBorder="1" applyAlignment="1">
      <alignment horizontal="center" vertical="center" wrapText="1"/>
    </xf>
    <xf numFmtId="0" fontId="21" fillId="0" borderId="21" xfId="7" applyFont="1" applyBorder="1" applyAlignment="1">
      <alignment horizontal="left" vertical="top" wrapText="1"/>
    </xf>
    <xf numFmtId="0" fontId="21" fillId="0" borderId="25" xfId="7" applyFont="1" applyBorder="1" applyAlignment="1">
      <alignment horizontal="left" vertical="top" wrapText="1"/>
    </xf>
    <xf numFmtId="0" fontId="19" fillId="0" borderId="8" xfId="7" applyFont="1" applyBorder="1" applyAlignment="1">
      <alignment horizontal="left" vertical="top" wrapText="1"/>
    </xf>
    <xf numFmtId="0" fontId="19" fillId="0" borderId="8" xfId="7" applyFont="1" applyBorder="1" applyAlignment="1">
      <alignment horizontal="center" vertical="center" wrapText="1"/>
    </xf>
    <xf numFmtId="0" fontId="21" fillId="0" borderId="21" xfId="7" applyFont="1" applyBorder="1" applyAlignment="1">
      <alignment vertical="top" wrapText="1"/>
    </xf>
    <xf numFmtId="0" fontId="19" fillId="0" borderId="27" xfId="7" applyFont="1" applyBorder="1" applyAlignment="1">
      <alignment horizontal="center" vertical="center" wrapText="1"/>
    </xf>
    <xf numFmtId="14" fontId="21" fillId="0" borderId="21" xfId="7" applyNumberFormat="1" applyFont="1" applyBorder="1" applyAlignment="1">
      <alignment vertical="top" wrapText="1"/>
    </xf>
    <xf numFmtId="0" fontId="21" fillId="0" borderId="53" xfId="7" applyFont="1" applyBorder="1" applyAlignment="1">
      <alignment vertical="top" wrapText="1"/>
    </xf>
    <xf numFmtId="0" fontId="21" fillId="0" borderId="54" xfId="7" applyFont="1" applyBorder="1" applyAlignment="1">
      <alignment vertical="top" wrapText="1"/>
    </xf>
    <xf numFmtId="0" fontId="19" fillId="0" borderId="0" xfId="7" applyFont="1" applyAlignment="1">
      <alignment vertical="top" wrapText="1"/>
    </xf>
    <xf numFmtId="0" fontId="19" fillId="0" borderId="0" xfId="7" applyFont="1" applyAlignment="1">
      <alignment horizontal="left" vertical="top" wrapText="1"/>
    </xf>
    <xf numFmtId="0" fontId="19" fillId="0" borderId="28" xfId="7" applyFont="1" applyBorder="1" applyAlignment="1">
      <alignment horizontal="center" vertical="center" wrapText="1"/>
    </xf>
    <xf numFmtId="0" fontId="19" fillId="0" borderId="3" xfId="7" applyFont="1" applyBorder="1" applyAlignment="1">
      <alignment horizontal="left" vertical="top" wrapText="1"/>
    </xf>
    <xf numFmtId="0" fontId="19" fillId="0" borderId="3" xfId="7" applyFont="1" applyBorder="1" applyAlignment="1">
      <alignment horizontal="center" vertical="center" wrapText="1"/>
    </xf>
    <xf numFmtId="0" fontId="21" fillId="0" borderId="13" xfId="7" applyFont="1" applyBorder="1" applyAlignment="1">
      <alignment vertical="top" wrapText="1"/>
    </xf>
    <xf numFmtId="16" fontId="19" fillId="0" borderId="28" xfId="7" quotePrefix="1" applyNumberFormat="1" applyFont="1" applyBorder="1" applyAlignment="1">
      <alignment horizontal="center" vertical="center" wrapText="1"/>
    </xf>
    <xf numFmtId="0" fontId="21" fillId="0" borderId="13" xfId="7" applyFont="1" applyBorder="1" applyAlignment="1">
      <alignment horizontal="left" vertical="top" wrapText="1"/>
    </xf>
    <xf numFmtId="0" fontId="21" fillId="0" borderId="29" xfId="7" applyFont="1" applyBorder="1" applyAlignment="1">
      <alignment horizontal="left" vertical="top" wrapText="1"/>
    </xf>
    <xf numFmtId="14" fontId="21" fillId="0" borderId="13" xfId="7" applyNumberFormat="1" applyFont="1" applyBorder="1" applyAlignment="1">
      <alignment vertical="top" wrapText="1"/>
    </xf>
    <xf numFmtId="0" fontId="21" fillId="0" borderId="55" xfId="7" applyFont="1" applyBorder="1" applyAlignment="1">
      <alignment vertical="top" wrapText="1"/>
    </xf>
    <xf numFmtId="0" fontId="21" fillId="0" borderId="56" xfId="7" applyFont="1" applyBorder="1" applyAlignment="1">
      <alignment vertical="top" wrapText="1"/>
    </xf>
    <xf numFmtId="0" fontId="19" fillId="0" borderId="8" xfId="7" applyFont="1" applyBorder="1" applyAlignment="1">
      <alignment vertical="top" wrapText="1"/>
    </xf>
    <xf numFmtId="0" fontId="19" fillId="0" borderId="30" xfId="7" applyFont="1" applyBorder="1" applyAlignment="1">
      <alignment vertical="center" wrapText="1"/>
    </xf>
    <xf numFmtId="0" fontId="21" fillId="0" borderId="30" xfId="7" applyFont="1" applyBorder="1" applyAlignment="1">
      <alignment vertical="center" wrapText="1"/>
    </xf>
    <xf numFmtId="14" fontId="21" fillId="0" borderId="30" xfId="7" applyNumberFormat="1" applyFont="1" applyBorder="1" applyAlignment="1">
      <alignment vertical="center" wrapText="1"/>
    </xf>
    <xf numFmtId="0" fontId="21" fillId="0" borderId="22" xfId="7" applyFont="1" applyBorder="1" applyAlignment="1">
      <alignment vertical="center" wrapText="1"/>
    </xf>
    <xf numFmtId="0" fontId="21" fillId="0" borderId="57" xfId="7" applyFont="1" applyBorder="1" applyAlignment="1">
      <alignment vertical="center" wrapText="1"/>
    </xf>
    <xf numFmtId="0" fontId="19" fillId="0" borderId="3" xfId="7" applyFont="1" applyBorder="1" applyAlignment="1">
      <alignment vertical="top" wrapText="1"/>
    </xf>
    <xf numFmtId="14" fontId="19" fillId="0" borderId="28" xfId="7" quotePrefix="1" applyNumberFormat="1" applyFont="1" applyBorder="1" applyAlignment="1">
      <alignment horizontal="center" vertical="center" wrapText="1"/>
    </xf>
    <xf numFmtId="0" fontId="19" fillId="0" borderId="13" xfId="7" applyFont="1" applyBorder="1" applyAlignment="1">
      <alignment horizontal="left" vertical="top" wrapText="1"/>
    </xf>
    <xf numFmtId="0" fontId="21" fillId="0" borderId="12" xfId="7" applyFont="1" applyBorder="1" applyAlignment="1">
      <alignment vertical="top" wrapText="1"/>
    </xf>
    <xf numFmtId="0" fontId="21" fillId="0" borderId="31" xfId="7" applyFont="1" applyBorder="1" applyAlignment="1">
      <alignment vertical="top" wrapText="1"/>
    </xf>
    <xf numFmtId="14" fontId="21" fillId="0" borderId="31" xfId="7" applyNumberFormat="1" applyFont="1" applyBorder="1" applyAlignment="1">
      <alignment vertical="top" wrapText="1"/>
    </xf>
    <xf numFmtId="0" fontId="21" fillId="0" borderId="58" xfId="7" applyFont="1" applyBorder="1" applyAlignment="1">
      <alignment vertical="top" wrapText="1"/>
    </xf>
    <xf numFmtId="0" fontId="19" fillId="0" borderId="59" xfId="7" applyFont="1" applyBorder="1" applyAlignment="1">
      <alignment horizontal="center" vertical="top" wrapText="1"/>
    </xf>
    <xf numFmtId="0" fontId="21" fillId="0" borderId="32" xfId="7" applyFont="1" applyBorder="1" applyAlignment="1">
      <alignment horizontal="left" vertical="top" wrapText="1"/>
    </xf>
    <xf numFmtId="0" fontId="19" fillId="3" borderId="7" xfId="7" applyFont="1" applyFill="1" applyBorder="1" applyAlignment="1">
      <alignment horizontal="center" vertical="center" wrapText="1"/>
    </xf>
    <xf numFmtId="0" fontId="22" fillId="5" borderId="7" xfId="7" applyFont="1" applyFill="1" applyBorder="1" applyAlignment="1">
      <alignment horizontal="center" wrapText="1"/>
    </xf>
    <xf numFmtId="0" fontId="19" fillId="0" borderId="23" xfId="7" applyFont="1" applyBorder="1" applyAlignment="1">
      <alignment vertical="top" wrapText="1"/>
    </xf>
    <xf numFmtId="0" fontId="19" fillId="0" borderId="30" xfId="7" applyFont="1" applyBorder="1" applyAlignment="1">
      <alignment horizontal="center" vertical="center" wrapText="1"/>
    </xf>
    <xf numFmtId="0" fontId="20" fillId="6" borderId="16" xfId="7" applyFont="1" applyFill="1" applyBorder="1" applyAlignment="1">
      <alignment vertical="center" wrapText="1"/>
    </xf>
    <xf numFmtId="0" fontId="20" fillId="6" borderId="18" xfId="7" applyFont="1" applyFill="1" applyBorder="1" applyAlignment="1">
      <alignment wrapText="1"/>
    </xf>
    <xf numFmtId="0" fontId="20" fillId="6" borderId="19" xfId="7" applyFont="1" applyFill="1" applyBorder="1" applyAlignment="1">
      <alignment vertical="center" wrapText="1"/>
    </xf>
    <xf numFmtId="0" fontId="20" fillId="6" borderId="16" xfId="7" applyFont="1" applyFill="1" applyBorder="1" applyAlignment="1">
      <alignment wrapText="1"/>
    </xf>
    <xf numFmtId="0" fontId="19" fillId="0" borderId="35" xfId="7" applyFont="1" applyBorder="1" applyAlignment="1">
      <alignment horizontal="left" vertical="top" wrapText="1"/>
    </xf>
    <xf numFmtId="0" fontId="21" fillId="0" borderId="26" xfId="7" applyFont="1" applyBorder="1" applyAlignment="1">
      <alignment horizontal="left" vertical="top" wrapText="1"/>
    </xf>
    <xf numFmtId="0" fontId="19" fillId="0" borderId="8" xfId="7" applyFont="1" applyBorder="1" applyAlignment="1">
      <alignment vertical="center" wrapText="1"/>
    </xf>
    <xf numFmtId="0" fontId="19" fillId="0" borderId="3" xfId="7" applyFont="1" applyBorder="1" applyAlignment="1">
      <alignment vertical="center" wrapText="1"/>
    </xf>
    <xf numFmtId="0" fontId="21" fillId="0" borderId="3" xfId="7" applyFont="1" applyBorder="1" applyAlignment="1">
      <alignment vertical="center" wrapText="1"/>
    </xf>
    <xf numFmtId="14" fontId="21" fillId="0" borderId="3" xfId="7" applyNumberFormat="1" applyFont="1" applyBorder="1" applyAlignment="1">
      <alignment vertical="center" wrapText="1"/>
    </xf>
    <xf numFmtId="0" fontId="19" fillId="0" borderId="3" xfId="7" applyFont="1" applyBorder="1" applyAlignment="1">
      <alignment wrapText="1"/>
    </xf>
    <xf numFmtId="0" fontId="19" fillId="0" borderId="20" xfId="7" applyFont="1" applyBorder="1" applyAlignment="1">
      <alignment horizontal="left" vertical="top" wrapText="1"/>
    </xf>
    <xf numFmtId="0" fontId="32" fillId="0" borderId="3" xfId="7" applyFont="1" applyBorder="1" applyAlignment="1">
      <alignment horizontal="left" vertical="center" wrapText="1"/>
    </xf>
    <xf numFmtId="0" fontId="33" fillId="0" borderId="0" xfId="0" applyFont="1" applyAlignment="1">
      <alignment horizontal="left" vertical="center" wrapText="1"/>
    </xf>
    <xf numFmtId="14" fontId="19" fillId="0" borderId="3" xfId="7" applyNumberFormat="1" applyFont="1" applyBorder="1" applyAlignment="1">
      <alignment wrapText="1"/>
    </xf>
    <xf numFmtId="0" fontId="19" fillId="0" borderId="22" xfId="7" applyFont="1" applyBorder="1" applyAlignment="1">
      <alignment horizontal="left" vertical="top" wrapText="1"/>
    </xf>
    <xf numFmtId="0" fontId="19" fillId="0" borderId="23" xfId="7" applyFont="1" applyBorder="1" applyAlignment="1">
      <alignment vertical="center" wrapText="1"/>
    </xf>
    <xf numFmtId="0" fontId="5" fillId="0" borderId="3" xfId="7" applyBorder="1" applyAlignment="1">
      <alignment wrapText="1"/>
    </xf>
    <xf numFmtId="0" fontId="19" fillId="2" borderId="0" xfId="7" applyFont="1" applyFill="1" applyAlignment="1">
      <alignment wrapText="1"/>
    </xf>
    <xf numFmtId="0" fontId="21" fillId="0" borderId="13" xfId="7" applyFont="1" applyBorder="1" applyAlignment="1">
      <alignment wrapText="1"/>
    </xf>
    <xf numFmtId="0" fontId="19" fillId="6" borderId="41" xfId="7" applyFont="1" applyFill="1" applyBorder="1" applyAlignment="1">
      <alignment vertical="center" wrapText="1"/>
    </xf>
    <xf numFmtId="0" fontId="19" fillId="0" borderId="27" xfId="7" applyFont="1" applyBorder="1" applyAlignment="1">
      <alignment vertical="center" wrapText="1"/>
    </xf>
    <xf numFmtId="0" fontId="19" fillId="6" borderId="60" xfId="7" applyFont="1" applyFill="1" applyBorder="1" applyAlignment="1">
      <alignment vertical="center" wrapText="1"/>
    </xf>
    <xf numFmtId="0" fontId="19" fillId="6" borderId="41" xfId="7" applyFont="1" applyFill="1" applyBorder="1" applyAlignment="1">
      <alignment horizontal="center" wrapText="1"/>
    </xf>
    <xf numFmtId="0" fontId="19" fillId="0" borderId="36" xfId="7" applyFont="1" applyBorder="1" applyAlignment="1">
      <alignment horizontal="left" vertical="top" wrapText="1"/>
    </xf>
    <xf numFmtId="0" fontId="20" fillId="4" borderId="3" xfId="7" applyFont="1" applyFill="1" applyBorder="1" applyAlignment="1">
      <alignment horizontal="center" vertical="center" wrapText="1"/>
    </xf>
    <xf numFmtId="0" fontId="22" fillId="4" borderId="3" xfId="7" applyFont="1" applyFill="1" applyBorder="1" applyAlignment="1">
      <alignment horizontal="center" wrapText="1"/>
    </xf>
    <xf numFmtId="0" fontId="19" fillId="2" borderId="3" xfId="7" applyFont="1" applyFill="1" applyBorder="1" applyAlignment="1">
      <alignment wrapText="1"/>
    </xf>
    <xf numFmtId="0" fontId="19" fillId="2" borderId="30" xfId="7" applyFont="1" applyFill="1" applyBorder="1" applyAlignment="1">
      <alignment wrapText="1"/>
    </xf>
    <xf numFmtId="0" fontId="20" fillId="2" borderId="3" xfId="7" applyFont="1" applyFill="1" applyBorder="1" applyAlignment="1">
      <alignment horizontal="left" vertical="top" wrapText="1"/>
    </xf>
    <xf numFmtId="0" fontId="20" fillId="2" borderId="49" xfId="7" applyFont="1" applyFill="1" applyBorder="1" applyAlignment="1">
      <alignment horizontal="left" vertical="top" wrapText="1"/>
    </xf>
    <xf numFmtId="0" fontId="21" fillId="0" borderId="30" xfId="7" applyFont="1" applyBorder="1" applyAlignment="1">
      <alignment horizontal="center" vertical="top" wrapText="1"/>
    </xf>
    <xf numFmtId="0" fontId="21" fillId="0" borderId="0" xfId="7" applyFont="1" applyAlignment="1">
      <alignment horizontal="center" vertical="top" wrapText="1"/>
    </xf>
    <xf numFmtId="0" fontId="21" fillId="0" borderId="49" xfId="7" applyFont="1" applyBorder="1" applyAlignment="1">
      <alignment horizontal="center" vertical="top" wrapText="1"/>
    </xf>
    <xf numFmtId="0" fontId="20" fillId="3" borderId="27" xfId="7" applyFont="1" applyFill="1" applyBorder="1" applyAlignment="1">
      <alignment horizontal="center" vertical="center" wrapText="1"/>
    </xf>
    <xf numFmtId="0" fontId="22" fillId="5" borderId="27" xfId="7" applyFont="1" applyFill="1" applyBorder="1" applyAlignment="1">
      <alignment horizontal="center" wrapText="1"/>
    </xf>
    <xf numFmtId="0" fontId="20" fillId="2" borderId="35" xfId="7" applyFont="1" applyFill="1" applyBorder="1" applyAlignment="1">
      <alignment horizontal="left" vertical="top" wrapText="1"/>
    </xf>
    <xf numFmtId="0" fontId="21" fillId="0" borderId="30" xfId="7" applyFont="1" applyBorder="1" applyAlignment="1">
      <alignment horizontal="left" vertical="top" wrapText="1"/>
    </xf>
    <xf numFmtId="0" fontId="21" fillId="0" borderId="0" xfId="7" applyFont="1" applyAlignment="1">
      <alignment horizontal="left" vertical="top" wrapText="1"/>
    </xf>
    <xf numFmtId="0" fontId="21" fillId="0" borderId="49" xfId="7" applyFont="1" applyBorder="1" applyAlignment="1">
      <alignment horizontal="left" vertical="top" wrapText="1"/>
    </xf>
    <xf numFmtId="0" fontId="19" fillId="6" borderId="16" xfId="7" applyFont="1" applyFill="1" applyBorder="1" applyAlignment="1">
      <alignment vertical="center" wrapText="1"/>
    </xf>
    <xf numFmtId="0" fontId="19" fillId="6" borderId="18" xfId="7" applyFont="1" applyFill="1" applyBorder="1" applyAlignment="1">
      <alignment horizontal="center" wrapText="1"/>
    </xf>
    <xf numFmtId="0" fontId="19" fillId="6" borderId="19" xfId="7" applyFont="1" applyFill="1" applyBorder="1" applyAlignment="1">
      <alignment vertical="center" wrapText="1"/>
    </xf>
    <xf numFmtId="0" fontId="19" fillId="6" borderId="16" xfId="7" applyFont="1" applyFill="1" applyBorder="1" applyAlignment="1">
      <alignment horizontal="center" wrapText="1"/>
    </xf>
    <xf numFmtId="0" fontId="19" fillId="0" borderId="40" xfId="7" applyFont="1" applyBorder="1" applyAlignment="1">
      <alignment vertical="top" wrapText="1"/>
    </xf>
    <xf numFmtId="0" fontId="21" fillId="0" borderId="41" xfId="7" applyFont="1" applyBorder="1" applyAlignment="1">
      <alignment vertical="center" wrapText="1"/>
    </xf>
    <xf numFmtId="0" fontId="21" fillId="0" borderId="60" xfId="7" applyFont="1" applyBorder="1" applyAlignment="1">
      <alignment vertical="center" wrapText="1"/>
    </xf>
    <xf numFmtId="14" fontId="21" fillId="0" borderId="57" xfId="7" applyNumberFormat="1" applyFont="1" applyBorder="1" applyAlignment="1">
      <alignment vertical="center" wrapText="1"/>
    </xf>
    <xf numFmtId="14" fontId="19" fillId="0" borderId="20" xfId="7" quotePrefix="1" applyNumberFormat="1" applyFont="1" applyBorder="1" applyAlignment="1">
      <alignment horizontal="left" vertical="top" wrapText="1"/>
    </xf>
    <xf numFmtId="0" fontId="21" fillId="0" borderId="13" xfId="7" applyFont="1" applyBorder="1" applyAlignment="1">
      <alignment vertical="center" wrapText="1"/>
    </xf>
    <xf numFmtId="14" fontId="21" fillId="0" borderId="13" xfId="7" applyNumberFormat="1" applyFont="1" applyBorder="1" applyAlignment="1">
      <alignment vertical="center" wrapText="1"/>
    </xf>
    <xf numFmtId="14" fontId="21" fillId="0" borderId="56" xfId="7" applyNumberFormat="1" applyFont="1" applyBorder="1" applyAlignment="1">
      <alignment vertical="center" wrapText="1"/>
    </xf>
    <xf numFmtId="0" fontId="19" fillId="0" borderId="12" xfId="7" applyFont="1" applyBorder="1" applyAlignment="1">
      <alignment horizontal="left" vertical="top" wrapText="1"/>
    </xf>
    <xf numFmtId="0" fontId="19" fillId="3" borderId="43" xfId="7" applyFont="1" applyFill="1" applyBorder="1" applyAlignment="1">
      <alignment horizontal="center" vertical="center" wrapText="1"/>
    </xf>
    <xf numFmtId="0" fontId="22" fillId="5" borderId="43" xfId="7" applyFont="1" applyFill="1" applyBorder="1" applyAlignment="1">
      <alignment horizontal="center" wrapText="1"/>
    </xf>
    <xf numFmtId="0" fontId="19" fillId="0" borderId="61" xfId="7" applyFont="1" applyBorder="1" applyAlignment="1">
      <alignment vertical="center" wrapText="1"/>
    </xf>
    <xf numFmtId="0" fontId="19" fillId="0" borderId="64" xfId="7" applyFont="1" applyBorder="1" applyAlignment="1">
      <alignment vertical="center" wrapText="1"/>
    </xf>
    <xf numFmtId="0" fontId="19" fillId="6" borderId="41" xfId="7" applyFont="1" applyFill="1" applyBorder="1" applyAlignment="1">
      <alignment wrapText="1"/>
    </xf>
    <xf numFmtId="0" fontId="21" fillId="0" borderId="29" xfId="7" applyFont="1" applyBorder="1" applyAlignment="1">
      <alignment vertical="top" wrapText="1"/>
    </xf>
    <xf numFmtId="0" fontId="21" fillId="0" borderId="14" xfId="7" applyFont="1" applyBorder="1" applyAlignment="1">
      <alignment vertical="top" wrapText="1"/>
    </xf>
    <xf numFmtId="0" fontId="19" fillId="0" borderId="7" xfId="7" applyFont="1" applyBorder="1" applyAlignment="1">
      <alignment vertical="center" wrapText="1"/>
    </xf>
    <xf numFmtId="14" fontId="19" fillId="0" borderId="7" xfId="7" applyNumberFormat="1" applyFont="1" applyBorder="1" applyAlignment="1">
      <alignment vertical="center" wrapText="1"/>
    </xf>
    <xf numFmtId="0" fontId="19" fillId="0" borderId="21" xfId="7" applyFont="1" applyBorder="1" applyAlignment="1">
      <alignment vertical="center" wrapText="1"/>
    </xf>
    <xf numFmtId="0" fontId="21" fillId="0" borderId="21" xfId="7" applyFont="1" applyBorder="1" applyAlignment="1">
      <alignment vertical="center" wrapText="1"/>
    </xf>
    <xf numFmtId="14" fontId="21" fillId="0" borderId="21" xfId="7" applyNumberFormat="1" applyFont="1" applyBorder="1" applyAlignment="1">
      <alignment vertical="center" wrapText="1"/>
    </xf>
    <xf numFmtId="0" fontId="19" fillId="12" borderId="0" xfId="7" applyFont="1" applyFill="1" applyAlignment="1">
      <alignment wrapText="1"/>
    </xf>
    <xf numFmtId="0" fontId="19" fillId="3" borderId="8" xfId="7" applyFont="1" applyFill="1" applyBorder="1" applyAlignment="1">
      <alignment horizontal="center" vertical="center" wrapText="1"/>
    </xf>
    <xf numFmtId="0" fontId="22" fillId="5" borderId="8" xfId="7" applyFont="1" applyFill="1" applyBorder="1" applyAlignment="1">
      <alignment horizontal="center" vertical="center" wrapText="1"/>
    </xf>
    <xf numFmtId="0" fontId="5" fillId="0" borderId="7" xfId="7" applyBorder="1" applyAlignment="1">
      <alignment wrapText="1"/>
    </xf>
    <xf numFmtId="0" fontId="20" fillId="6" borderId="3" xfId="7" applyFont="1" applyFill="1" applyBorder="1" applyAlignment="1">
      <alignment wrapText="1"/>
    </xf>
    <xf numFmtId="0" fontId="19" fillId="0" borderId="56" xfId="7" applyFont="1" applyBorder="1" applyAlignment="1">
      <alignment vertical="center" wrapText="1"/>
    </xf>
    <xf numFmtId="0" fontId="19" fillId="0" borderId="0" xfId="7" applyFont="1" applyAlignment="1">
      <alignment vertical="center" wrapText="1"/>
    </xf>
    <xf numFmtId="0" fontId="19" fillId="0" borderId="20" xfId="0" applyFont="1" applyBorder="1" applyAlignment="1">
      <alignment horizontal="left" vertical="top" wrapText="1"/>
    </xf>
    <xf numFmtId="0" fontId="19" fillId="3" borderId="8" xfId="0" applyFont="1" applyFill="1" applyBorder="1" applyAlignment="1">
      <alignment horizontal="center" vertical="center" wrapText="1"/>
    </xf>
    <xf numFmtId="0" fontId="21" fillId="0" borderId="21" xfId="0" applyFont="1" applyBorder="1" applyAlignment="1">
      <alignment vertical="center" wrapText="1"/>
    </xf>
    <xf numFmtId="0" fontId="19" fillId="0" borderId="3" xfId="0" applyFont="1" applyBorder="1" applyAlignment="1">
      <alignment horizontal="center" vertical="center" wrapText="1"/>
    </xf>
    <xf numFmtId="14" fontId="21" fillId="0" borderId="21" xfId="0" applyNumberFormat="1" applyFont="1" applyBorder="1" applyAlignment="1">
      <alignment vertical="center" wrapText="1"/>
    </xf>
    <xf numFmtId="0" fontId="19" fillId="0" borderId="28" xfId="0" applyFont="1" applyBorder="1" applyAlignment="1">
      <alignment horizontal="left" vertical="center" wrapText="1"/>
    </xf>
    <xf numFmtId="0" fontId="19" fillId="0" borderId="3" xfId="0" applyFont="1" applyBorder="1" applyAlignment="1">
      <alignment vertical="center" wrapText="1"/>
    </xf>
    <xf numFmtId="14" fontId="19" fillId="0" borderId="3" xfId="0" applyNumberFormat="1" applyFont="1" applyBorder="1" applyAlignment="1">
      <alignment vertical="center" wrapText="1"/>
    </xf>
    <xf numFmtId="0" fontId="19" fillId="0" borderId="56" xfId="0" applyFont="1" applyBorder="1" applyAlignment="1">
      <alignment vertical="center" wrapText="1"/>
    </xf>
    <xf numFmtId="0" fontId="19" fillId="0" borderId="0" xfId="0" applyFont="1" applyAlignment="1">
      <alignment vertical="center" wrapText="1"/>
    </xf>
    <xf numFmtId="0" fontId="19" fillId="0" borderId="65" xfId="7" applyFont="1" applyBorder="1" applyAlignment="1">
      <alignment horizontal="center" vertical="center" wrapText="1"/>
    </xf>
    <xf numFmtId="0" fontId="19" fillId="0" borderId="43" xfId="7" applyFont="1" applyBorder="1" applyAlignment="1">
      <alignment wrapText="1"/>
    </xf>
    <xf numFmtId="0" fontId="19" fillId="0" borderId="64" xfId="7" applyFont="1" applyBorder="1" applyAlignment="1">
      <alignment wrapText="1"/>
    </xf>
    <xf numFmtId="0" fontId="20" fillId="6" borderId="60" xfId="7" applyFont="1" applyFill="1" applyBorder="1" applyAlignment="1">
      <alignment vertical="center" wrapText="1"/>
    </xf>
    <xf numFmtId="0" fontId="20" fillId="6" borderId="11" xfId="7" applyFont="1" applyFill="1" applyBorder="1" applyAlignment="1">
      <alignment vertical="center" wrapText="1"/>
    </xf>
    <xf numFmtId="0" fontId="20" fillId="6" borderId="41" xfId="7" applyFont="1" applyFill="1" applyBorder="1" applyAlignment="1">
      <alignment vertical="center" wrapText="1"/>
    </xf>
    <xf numFmtId="0" fontId="19" fillId="0" borderId="40" xfId="7" applyFont="1" applyBorder="1" applyAlignment="1">
      <alignment horizontal="left" vertical="top" wrapText="1"/>
    </xf>
    <xf numFmtId="14" fontId="19" fillId="0" borderId="40" xfId="7" applyNumberFormat="1" applyFont="1" applyBorder="1" applyAlignment="1">
      <alignment horizontal="left" vertical="top" wrapText="1"/>
    </xf>
    <xf numFmtId="0" fontId="19" fillId="0" borderId="66" xfId="7" applyFont="1" applyBorder="1" applyAlignment="1">
      <alignment horizontal="left" vertical="top" wrapText="1"/>
    </xf>
    <xf numFmtId="0" fontId="19" fillId="0" borderId="28" xfId="7" applyFont="1" applyBorder="1" applyAlignment="1">
      <alignment horizontal="left" vertical="top" wrapText="1"/>
    </xf>
    <xf numFmtId="14" fontId="19" fillId="0" borderId="3" xfId="7" applyNumberFormat="1" applyFont="1" applyBorder="1" applyAlignment="1">
      <alignment horizontal="left" vertical="top" wrapText="1"/>
    </xf>
    <xf numFmtId="0" fontId="19" fillId="0" borderId="56" xfId="7" applyFont="1" applyBorder="1" applyAlignment="1">
      <alignment horizontal="left" vertical="top" wrapText="1"/>
    </xf>
    <xf numFmtId="0" fontId="19" fillId="0" borderId="13" xfId="7" applyFont="1" applyBorder="1" applyAlignment="1">
      <alignment vertical="center" wrapText="1"/>
    </xf>
    <xf numFmtId="0" fontId="21" fillId="0" borderId="21" xfId="7" applyFont="1" applyBorder="1" applyAlignment="1">
      <alignment horizontal="center" vertical="center" wrapText="1"/>
    </xf>
    <xf numFmtId="14" fontId="21" fillId="0" borderId="21" xfId="7" applyNumberFormat="1" applyFont="1" applyBorder="1" applyAlignment="1">
      <alignment horizontal="center" vertical="center" wrapText="1"/>
    </xf>
    <xf numFmtId="0" fontId="19" fillId="0" borderId="56" xfId="7" applyFont="1" applyBorder="1" applyAlignment="1">
      <alignment wrapText="1"/>
    </xf>
    <xf numFmtId="0" fontId="5" fillId="0" borderId="12" xfId="7" applyBorder="1" applyAlignment="1">
      <alignment wrapText="1"/>
    </xf>
    <xf numFmtId="0" fontId="5" fillId="0" borderId="9" xfId="7" applyBorder="1" applyAlignment="1">
      <alignment wrapText="1"/>
    </xf>
    <xf numFmtId="0" fontId="18" fillId="0" borderId="9" xfId="7" applyFont="1" applyBorder="1" applyAlignment="1">
      <alignment horizontal="right" wrapText="1"/>
    </xf>
    <xf numFmtId="0" fontId="5" fillId="0" borderId="65" xfId="7" applyBorder="1" applyAlignment="1">
      <alignment wrapText="1"/>
    </xf>
    <xf numFmtId="0" fontId="5" fillId="0" borderId="43" xfId="7" applyBorder="1" applyAlignment="1">
      <alignment wrapText="1"/>
    </xf>
    <xf numFmtId="0" fontId="5" fillId="0" borderId="64" xfId="7" applyBorder="1" applyAlignment="1">
      <alignment wrapText="1"/>
    </xf>
    <xf numFmtId="0" fontId="22" fillId="5" borderId="34" xfId="7" applyFont="1" applyFill="1" applyBorder="1"/>
    <xf numFmtId="0" fontId="7" fillId="5" borderId="47" xfId="7" applyFont="1" applyFill="1" applyBorder="1"/>
    <xf numFmtId="0" fontId="7" fillId="4" borderId="17" xfId="7" applyFont="1" applyFill="1" applyBorder="1"/>
    <xf numFmtId="0" fontId="19" fillId="0" borderId="7" xfId="7" applyFont="1" applyBorder="1" applyAlignment="1">
      <alignment horizontal="center" vertical="center" wrapText="1"/>
    </xf>
    <xf numFmtId="0" fontId="34" fillId="4" borderId="39" xfId="8" applyFont="1" applyFill="1" applyBorder="1" applyAlignment="1">
      <alignment vertical="center" wrapText="1"/>
    </xf>
    <xf numFmtId="0" fontId="34" fillId="4" borderId="14" xfId="8" applyFont="1" applyFill="1" applyBorder="1" applyAlignment="1">
      <alignment vertical="center" wrapText="1"/>
    </xf>
    <xf numFmtId="0" fontId="34" fillId="4" borderId="63" xfId="8" applyFont="1" applyFill="1" applyBorder="1" applyAlignment="1">
      <alignment vertical="center" wrapText="1"/>
    </xf>
    <xf numFmtId="0" fontId="5" fillId="0" borderId="8" xfId="7" applyBorder="1" applyAlignment="1">
      <alignment wrapText="1"/>
    </xf>
    <xf numFmtId="0" fontId="21" fillId="0" borderId="27" xfId="7" applyFont="1" applyBorder="1" applyAlignment="1">
      <alignment vertical="top" wrapText="1"/>
    </xf>
    <xf numFmtId="0" fontId="21" fillId="0" borderId="8" xfId="7" applyFont="1" applyBorder="1" applyAlignment="1">
      <alignment vertical="top" wrapText="1"/>
    </xf>
    <xf numFmtId="0" fontId="19" fillId="0" borderId="7" xfId="7" applyFont="1" applyBorder="1" applyAlignment="1">
      <alignment horizontal="left" vertical="top" wrapText="1"/>
    </xf>
    <xf numFmtId="0" fontId="21" fillId="0" borderId="23" xfId="7" applyFont="1" applyBorder="1" applyAlignment="1">
      <alignment vertical="top" wrapText="1"/>
    </xf>
    <xf numFmtId="0" fontId="21" fillId="0" borderId="32" xfId="7" applyFont="1" applyBorder="1" applyAlignment="1">
      <alignment vertical="top" wrapText="1"/>
    </xf>
    <xf numFmtId="0" fontId="21" fillId="0" borderId="33" xfId="7" applyFont="1" applyBorder="1" applyAlignment="1">
      <alignment vertical="top" wrapText="1"/>
    </xf>
    <xf numFmtId="14" fontId="19" fillId="0" borderId="27" xfId="7" applyNumberFormat="1" applyFont="1" applyBorder="1" applyAlignment="1">
      <alignment vertical="center" wrapText="1"/>
    </xf>
    <xf numFmtId="0" fontId="21" fillId="0" borderId="3" xfId="7" applyFont="1" applyBorder="1" applyAlignment="1">
      <alignment horizontal="left" vertical="center" wrapText="1"/>
    </xf>
    <xf numFmtId="0" fontId="21" fillId="0" borderId="3" xfId="7" applyFont="1" applyBorder="1" applyAlignment="1">
      <alignment wrapText="1"/>
    </xf>
    <xf numFmtId="14" fontId="21" fillId="0" borderId="3" xfId="7" applyNumberFormat="1" applyFont="1" applyBorder="1" applyAlignment="1">
      <alignment horizontal="center" vertical="center" wrapText="1"/>
    </xf>
    <xf numFmtId="14" fontId="19" fillId="0" borderId="3" xfId="7" applyNumberFormat="1" applyFont="1" applyBorder="1" applyAlignment="1">
      <alignment horizontal="center" vertical="center" wrapText="1"/>
    </xf>
    <xf numFmtId="0" fontId="9" fillId="0" borderId="3" xfId="1" applyFont="1" applyFill="1" applyBorder="1" applyAlignment="1" applyProtection="1">
      <alignment horizontal="center" vertical="center"/>
    </xf>
    <xf numFmtId="0" fontId="12" fillId="0" borderId="7" xfId="2" applyFont="1" applyBorder="1" applyAlignment="1">
      <alignment horizontal="center" vertical="center" wrapText="1"/>
    </xf>
    <xf numFmtId="0" fontId="12" fillId="0" borderId="8" xfId="2" applyFont="1" applyBorder="1" applyAlignment="1">
      <alignment horizontal="center" vertical="center" wrapText="1"/>
    </xf>
    <xf numFmtId="0" fontId="10" fillId="2" borderId="3" xfId="0" applyFont="1" applyFill="1" applyBorder="1" applyAlignment="1">
      <alignment horizontal="center" vertical="center"/>
    </xf>
    <xf numFmtId="0" fontId="12" fillId="0" borderId="3" xfId="2" applyFont="1" applyBorder="1" applyAlignment="1">
      <alignment horizontal="center" vertical="center" wrapText="1"/>
    </xf>
    <xf numFmtId="0" fontId="6" fillId="0" borderId="0" xfId="0" applyFont="1" applyAlignment="1">
      <alignment horizontal="center" vertical="center"/>
    </xf>
    <xf numFmtId="0" fontId="6" fillId="0" borderId="1" xfId="0" applyFont="1" applyBorder="1" applyAlignment="1">
      <alignment horizontal="center" vertical="center"/>
    </xf>
    <xf numFmtId="0" fontId="5" fillId="0" borderId="2" xfId="0" applyFont="1" applyBorder="1" applyAlignment="1">
      <alignment horizontal="left" vertical="center"/>
    </xf>
    <xf numFmtId="0" fontId="0" fillId="0" borderId="2" xfId="0" applyBorder="1" applyAlignment="1">
      <alignment horizontal="left" vertical="center"/>
    </xf>
    <xf numFmtId="0" fontId="9" fillId="0" borderId="3" xfId="0" applyFont="1" applyBorder="1" applyAlignment="1">
      <alignment horizontal="center" vertical="center" wrapText="1"/>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39" fillId="0" borderId="4" xfId="0" applyFont="1" applyBorder="1" applyAlignment="1">
      <alignment horizontal="left" vertical="top" wrapText="1"/>
    </xf>
    <xf numFmtId="0" fontId="9" fillId="0" borderId="5" xfId="0" applyFont="1" applyBorder="1" applyAlignment="1">
      <alignment horizontal="left" vertical="top"/>
    </xf>
    <xf numFmtId="0" fontId="9" fillId="0" borderId="0" xfId="0" applyFont="1" applyAlignment="1">
      <alignment horizontal="left" vertical="top"/>
    </xf>
    <xf numFmtId="0" fontId="9" fillId="0" borderId="6" xfId="0" applyFont="1" applyBorder="1" applyAlignment="1">
      <alignment horizontal="left" vertical="top"/>
    </xf>
    <xf numFmtId="0" fontId="9" fillId="0" borderId="9" xfId="0" applyFont="1" applyBorder="1" applyAlignment="1">
      <alignment horizontal="left" vertical="top"/>
    </xf>
    <xf numFmtId="0" fontId="9" fillId="0" borderId="10" xfId="0" applyFont="1" applyBorder="1" applyAlignment="1">
      <alignment horizontal="left" vertical="top"/>
    </xf>
    <xf numFmtId="0" fontId="12" fillId="10" borderId="23" xfId="2" applyFont="1" applyFill="1" applyBorder="1" applyAlignment="1">
      <alignment horizontal="center" vertical="center" wrapText="1"/>
    </xf>
    <xf numFmtId="0" fontId="12" fillId="10" borderId="32" xfId="2" applyFont="1" applyFill="1" applyBorder="1" applyAlignment="1">
      <alignment horizontal="center" vertical="center" wrapText="1"/>
    </xf>
    <xf numFmtId="0" fontId="12" fillId="10" borderId="33" xfId="2" applyFont="1" applyFill="1" applyBorder="1" applyAlignment="1">
      <alignment horizontal="center" vertical="center" wrapText="1"/>
    </xf>
    <xf numFmtId="0" fontId="12" fillId="10" borderId="21" xfId="2" applyFont="1" applyFill="1" applyBorder="1" applyAlignment="1">
      <alignment horizontal="center" vertical="center" wrapText="1"/>
    </xf>
    <xf numFmtId="0" fontId="12" fillId="10" borderId="25" xfId="2" applyFont="1" applyFill="1" applyBorder="1" applyAlignment="1">
      <alignment horizontal="center" vertical="center" wrapText="1"/>
    </xf>
    <xf numFmtId="0" fontId="12" fillId="10" borderId="26" xfId="2" applyFont="1" applyFill="1" applyBorder="1" applyAlignment="1">
      <alignment horizontal="center" vertical="center" wrapText="1"/>
    </xf>
    <xf numFmtId="0" fontId="12" fillId="0" borderId="7" xfId="2" applyFont="1" applyBorder="1" applyAlignment="1">
      <alignment horizontal="center" vertical="top" wrapText="1"/>
    </xf>
    <xf numFmtId="0" fontId="12" fillId="0" borderId="8" xfId="2" applyFont="1" applyBorder="1" applyAlignment="1">
      <alignment horizontal="center" vertical="top" wrapText="1"/>
    </xf>
    <xf numFmtId="0" fontId="9" fillId="10" borderId="3" xfId="1" applyFont="1" applyFill="1" applyBorder="1" applyAlignment="1" applyProtection="1">
      <alignment horizontal="center" vertical="center"/>
    </xf>
    <xf numFmtId="0" fontId="12" fillId="10" borderId="3" xfId="2" applyFont="1" applyFill="1" applyBorder="1" applyAlignment="1">
      <alignment horizontal="center" vertical="center" wrapText="1"/>
    </xf>
    <xf numFmtId="0" fontId="12" fillId="0" borderId="3" xfId="2" applyFont="1" applyBorder="1" applyAlignment="1">
      <alignment horizontal="center" vertical="top" wrapText="1"/>
    </xf>
    <xf numFmtId="0" fontId="17" fillId="0" borderId="4" xfId="7" applyFont="1" applyBorder="1" applyAlignment="1">
      <alignment horizontal="center"/>
    </xf>
    <xf numFmtId="0" fontId="17" fillId="0" borderId="5" xfId="7" applyFont="1" applyBorder="1" applyAlignment="1">
      <alignment horizontal="center"/>
    </xf>
    <xf numFmtId="14" fontId="5" fillId="0" borderId="9" xfId="7" applyNumberFormat="1" applyBorder="1" applyAlignment="1">
      <alignment horizontal="right" vertical="top"/>
    </xf>
    <xf numFmtId="14" fontId="5" fillId="0" borderId="10" xfId="7" applyNumberFormat="1" applyBorder="1" applyAlignment="1">
      <alignment horizontal="right" vertical="top"/>
    </xf>
    <xf numFmtId="0" fontId="5" fillId="0" borderId="13" xfId="7" applyBorder="1" applyAlignment="1">
      <alignment horizontal="left"/>
    </xf>
    <xf numFmtId="0" fontId="5" fillId="0" borderId="14" xfId="7" applyBorder="1" applyAlignment="1">
      <alignment horizontal="left"/>
    </xf>
    <xf numFmtId="0" fontId="5" fillId="4" borderId="0" xfId="7" applyFill="1" applyAlignment="1">
      <alignment horizontal="right"/>
    </xf>
    <xf numFmtId="0" fontId="19" fillId="0" borderId="16" xfId="7" applyFont="1" applyBorder="1" applyAlignment="1">
      <alignment horizontal="center" vertical="center" wrapText="1"/>
    </xf>
    <xf numFmtId="0" fontId="19" fillId="0" borderId="17" xfId="7" applyFont="1" applyBorder="1" applyAlignment="1">
      <alignment horizontal="center" vertical="center" wrapText="1"/>
    </xf>
    <xf numFmtId="0" fontId="19" fillId="0" borderId="52" xfId="7" applyFont="1" applyBorder="1" applyAlignment="1">
      <alignment horizontal="center" vertical="center" wrapText="1"/>
    </xf>
    <xf numFmtId="0" fontId="19" fillId="0" borderId="0" xfId="7" applyFont="1" applyAlignment="1">
      <alignment horizontal="left" vertical="top" wrapText="1"/>
    </xf>
    <xf numFmtId="0" fontId="19" fillId="0" borderId="20" xfId="7" applyFont="1" applyBorder="1" applyAlignment="1">
      <alignment horizontal="right" wrapText="1"/>
    </xf>
    <xf numFmtId="0" fontId="19" fillId="0" borderId="8" xfId="7" applyFont="1" applyBorder="1" applyAlignment="1">
      <alignment horizontal="right" wrapText="1"/>
    </xf>
    <xf numFmtId="0" fontId="20" fillId="6" borderId="15" xfId="7" applyFont="1" applyFill="1" applyBorder="1" applyAlignment="1">
      <alignment horizontal="left" wrapText="1"/>
    </xf>
    <xf numFmtId="0" fontId="20" fillId="6" borderId="18" xfId="7" applyFont="1" applyFill="1" applyBorder="1" applyAlignment="1">
      <alignment horizontal="left" wrapText="1"/>
    </xf>
    <xf numFmtId="0" fontId="21" fillId="0" borderId="21" xfId="7" applyFont="1" applyBorder="1" applyAlignment="1">
      <alignment horizontal="left" vertical="center" wrapText="1"/>
    </xf>
    <xf numFmtId="0" fontId="21" fillId="0" borderId="25" xfId="7" applyFont="1" applyBorder="1" applyAlignment="1">
      <alignment horizontal="left" vertical="center" wrapText="1"/>
    </xf>
    <xf numFmtId="0" fontId="21" fillId="0" borderId="26" xfId="7" applyFont="1" applyBorder="1" applyAlignment="1">
      <alignment horizontal="left" vertical="center" wrapText="1"/>
    </xf>
    <xf numFmtId="0" fontId="21" fillId="0" borderId="42" xfId="7" applyFont="1" applyBorder="1" applyAlignment="1">
      <alignment horizontal="left" vertical="center" wrapText="1"/>
    </xf>
    <xf numFmtId="0" fontId="21" fillId="0" borderId="27" xfId="7" applyFont="1" applyBorder="1" applyAlignment="1">
      <alignment horizontal="left" vertical="center" wrapText="1"/>
    </xf>
    <xf numFmtId="0" fontId="21" fillId="0" borderId="8" xfId="7" applyFont="1" applyBorder="1" applyAlignment="1">
      <alignment horizontal="left" vertical="center" wrapText="1"/>
    </xf>
    <xf numFmtId="0" fontId="21" fillId="0" borderId="21" xfId="7" applyFont="1" applyBorder="1" applyAlignment="1">
      <alignment horizontal="left" vertical="top" wrapText="1"/>
    </xf>
    <xf numFmtId="0" fontId="21" fillId="0" borderId="25" xfId="7" applyFont="1" applyBorder="1" applyAlignment="1">
      <alignment horizontal="left" vertical="top" wrapText="1"/>
    </xf>
    <xf numFmtId="0" fontId="19" fillId="0" borderId="27" xfId="7" applyFont="1" applyBorder="1" applyAlignment="1">
      <alignment horizontal="center" vertical="center" wrapText="1"/>
    </xf>
    <xf numFmtId="0" fontId="21" fillId="0" borderId="13" xfId="7" applyFont="1" applyBorder="1" applyAlignment="1">
      <alignment horizontal="left" vertical="top" wrapText="1"/>
    </xf>
    <xf numFmtId="0" fontId="21" fillId="0" borderId="29" xfId="7" applyFont="1" applyBorder="1" applyAlignment="1">
      <alignment horizontal="left" vertical="top" wrapText="1"/>
    </xf>
    <xf numFmtId="0" fontId="21" fillId="0" borderId="14" xfId="7" applyFont="1" applyBorder="1" applyAlignment="1">
      <alignment horizontal="left" vertical="top" wrapText="1"/>
    </xf>
    <xf numFmtId="0" fontId="21" fillId="0" borderId="13" xfId="7" applyFont="1" applyBorder="1" applyAlignment="1">
      <alignment horizontal="left" vertical="center" wrapText="1"/>
    </xf>
    <xf numFmtId="0" fontId="21" fillId="0" borderId="29" xfId="7" applyFont="1" applyBorder="1" applyAlignment="1">
      <alignment horizontal="left" vertical="center" wrapText="1"/>
    </xf>
    <xf numFmtId="0" fontId="21" fillId="0" borderId="14" xfId="7" applyFont="1" applyBorder="1" applyAlignment="1">
      <alignment horizontal="left" vertical="center" wrapText="1"/>
    </xf>
    <xf numFmtId="0" fontId="5" fillId="0" borderId="29" xfId="7" applyBorder="1" applyAlignment="1">
      <alignment horizontal="left" vertical="top" wrapText="1"/>
    </xf>
    <xf numFmtId="0" fontId="5" fillId="0" borderId="14" xfId="7" applyBorder="1" applyAlignment="1">
      <alignment horizontal="left" vertical="top" wrapText="1"/>
    </xf>
    <xf numFmtId="0" fontId="8" fillId="0" borderId="13" xfId="0" applyFont="1" applyBorder="1" applyAlignment="1">
      <alignment horizontal="right" vertical="top" wrapText="1"/>
    </xf>
    <xf numFmtId="0" fontId="8" fillId="0" borderId="29" xfId="0" applyFont="1" applyBorder="1" applyAlignment="1">
      <alignment horizontal="right" vertical="top" wrapText="1"/>
    </xf>
    <xf numFmtId="0" fontId="8" fillId="0" borderId="14" xfId="0" applyFont="1" applyBorder="1" applyAlignment="1">
      <alignment horizontal="right" vertical="top" wrapText="1"/>
    </xf>
    <xf numFmtId="0" fontId="5" fillId="0" borderId="27" xfId="7" applyBorder="1" applyAlignment="1">
      <alignment wrapText="1"/>
    </xf>
    <xf numFmtId="0" fontId="21" fillId="0" borderId="23" xfId="7" applyFont="1" applyBorder="1" applyAlignment="1">
      <alignment horizontal="left" vertical="top" wrapText="1"/>
    </xf>
    <xf numFmtId="0" fontId="21" fillId="0" borderId="32" xfId="7" applyFont="1" applyBorder="1" applyAlignment="1">
      <alignment horizontal="left" vertical="top" wrapText="1"/>
    </xf>
    <xf numFmtId="0" fontId="21" fillId="0" borderId="33" xfId="7" applyFont="1" applyBorder="1" applyAlignment="1">
      <alignment horizontal="left" vertical="top" wrapText="1"/>
    </xf>
    <xf numFmtId="0" fontId="20" fillId="6" borderId="34" xfId="7" applyFont="1" applyFill="1" applyBorder="1" applyAlignment="1">
      <alignment horizontal="left" vertical="top" wrapText="1"/>
    </xf>
    <xf numFmtId="0" fontId="20" fillId="6" borderId="17" xfId="7" applyFont="1" applyFill="1" applyBorder="1" applyAlignment="1">
      <alignment horizontal="left" vertical="top" wrapText="1"/>
    </xf>
    <xf numFmtId="0" fontId="21" fillId="0" borderId="26" xfId="7" applyFont="1" applyBorder="1" applyAlignment="1">
      <alignment horizontal="left" vertical="top" wrapText="1"/>
    </xf>
    <xf numFmtId="0" fontId="21" fillId="0" borderId="42" xfId="7" applyFont="1" applyBorder="1" applyAlignment="1">
      <alignment horizontal="left" vertical="top" wrapText="1"/>
    </xf>
    <xf numFmtId="0" fontId="21" fillId="0" borderId="27" xfId="7" applyFont="1" applyBorder="1" applyAlignment="1">
      <alignment horizontal="left" vertical="top" wrapText="1"/>
    </xf>
    <xf numFmtId="0" fontId="21" fillId="0" borderId="44" xfId="7" applyFont="1" applyBorder="1" applyAlignment="1">
      <alignment horizontal="left" vertical="top" wrapText="1"/>
    </xf>
    <xf numFmtId="0" fontId="20" fillId="6" borderId="15" xfId="7" applyFont="1" applyFill="1" applyBorder="1" applyAlignment="1">
      <alignment horizontal="left" vertical="top" wrapText="1"/>
    </xf>
    <xf numFmtId="0" fontId="20" fillId="6" borderId="18" xfId="7" applyFont="1" applyFill="1" applyBorder="1" applyAlignment="1">
      <alignment horizontal="left" vertical="top" wrapText="1"/>
    </xf>
    <xf numFmtId="0" fontId="20" fillId="6" borderId="45" xfId="7" applyFont="1" applyFill="1" applyBorder="1" applyAlignment="1">
      <alignment horizontal="left" vertical="top" wrapText="1"/>
    </xf>
    <xf numFmtId="0" fontId="20" fillId="6" borderId="42" xfId="7" applyFont="1" applyFill="1" applyBorder="1" applyAlignment="1">
      <alignment horizontal="left" vertical="top" wrapText="1"/>
    </xf>
    <xf numFmtId="0" fontId="21" fillId="0" borderId="7" xfId="7" applyFont="1" applyBorder="1" applyAlignment="1">
      <alignment horizontal="left" vertical="top" wrapText="1"/>
    </xf>
    <xf numFmtId="0" fontId="21" fillId="0" borderId="13" xfId="7" applyFont="1" applyBorder="1" applyAlignment="1">
      <alignment horizontal="center" vertical="top" wrapText="1"/>
    </xf>
    <xf numFmtId="0" fontId="21" fillId="0" borderId="29" xfId="7" applyFont="1" applyBorder="1" applyAlignment="1">
      <alignment horizontal="center" vertical="top" wrapText="1"/>
    </xf>
    <xf numFmtId="0" fontId="21" fillId="0" borderId="14" xfId="7" applyFont="1" applyBorder="1" applyAlignment="1">
      <alignment horizontal="center" vertical="top" wrapText="1"/>
    </xf>
    <xf numFmtId="0" fontId="21" fillId="0" borderId="3" xfId="7" applyFont="1" applyBorder="1" applyAlignment="1">
      <alignment horizontal="left" vertical="top" wrapText="1"/>
    </xf>
    <xf numFmtId="0" fontId="21" fillId="0" borderId="37" xfId="7" applyFont="1" applyBorder="1" applyAlignment="1">
      <alignment horizontal="left" vertical="top" wrapText="1"/>
    </xf>
    <xf numFmtId="0" fontId="21" fillId="0" borderId="38" xfId="7" applyFont="1" applyBorder="1" applyAlignment="1">
      <alignment horizontal="left" vertical="top" wrapText="1"/>
    </xf>
    <xf numFmtId="0" fontId="21" fillId="0" borderId="39" xfId="7" applyFont="1" applyBorder="1" applyAlignment="1">
      <alignment horizontal="left" vertical="top" wrapText="1"/>
    </xf>
    <xf numFmtId="0" fontId="19" fillId="0" borderId="42" xfId="7" applyFont="1" applyBorder="1" applyAlignment="1">
      <alignment horizontal="center" vertical="center" wrapText="1"/>
    </xf>
    <xf numFmtId="0" fontId="5" fillId="0" borderId="44" xfId="7" applyBorder="1" applyAlignment="1">
      <alignment wrapText="1"/>
    </xf>
    <xf numFmtId="0" fontId="21" fillId="0" borderId="61" xfId="7" applyFont="1" applyBorder="1" applyAlignment="1">
      <alignment horizontal="left" vertical="top" wrapText="1"/>
    </xf>
    <xf numFmtId="0" fontId="21" fillId="0" borderId="62" xfId="7" applyFont="1" applyBorder="1" applyAlignment="1">
      <alignment horizontal="left" vertical="top" wrapText="1"/>
    </xf>
    <xf numFmtId="0" fontId="21" fillId="0" borderId="63" xfId="7" applyFont="1" applyBorder="1" applyAlignment="1">
      <alignment horizontal="left" vertical="top" wrapText="1"/>
    </xf>
    <xf numFmtId="0" fontId="36" fillId="0" borderId="13" xfId="0" applyFont="1" applyBorder="1" applyAlignment="1">
      <alignment horizontal="left" vertical="center" wrapText="1"/>
    </xf>
    <xf numFmtId="0" fontId="36" fillId="0" borderId="29" xfId="0" applyFont="1" applyBorder="1" applyAlignment="1">
      <alignment horizontal="left" vertical="center" wrapText="1"/>
    </xf>
    <xf numFmtId="0" fontId="36" fillId="0" borderId="14" xfId="0" applyFont="1" applyBorder="1" applyAlignment="1">
      <alignment horizontal="left" vertical="center" wrapText="1"/>
    </xf>
    <xf numFmtId="0" fontId="32" fillId="0" borderId="13" xfId="0" applyFont="1" applyBorder="1" applyAlignment="1">
      <alignment horizontal="left" vertical="top" wrapText="1"/>
    </xf>
    <xf numFmtId="0" fontId="32" fillId="0" borderId="29" xfId="0" applyFont="1" applyBorder="1" applyAlignment="1">
      <alignment horizontal="left" vertical="top" wrapText="1"/>
    </xf>
    <xf numFmtId="0" fontId="32" fillId="0" borderId="14" xfId="0" applyFont="1" applyBorder="1" applyAlignment="1">
      <alignment horizontal="left" vertical="top" wrapText="1"/>
    </xf>
    <xf numFmtId="0" fontId="19" fillId="0" borderId="42" xfId="7" applyFont="1" applyBorder="1" applyAlignment="1">
      <alignment horizontal="center" vertical="top" wrapText="1"/>
    </xf>
    <xf numFmtId="0" fontId="19" fillId="0" borderId="8" xfId="7" applyFont="1" applyBorder="1" applyAlignment="1">
      <alignment horizontal="center" vertical="top" wrapText="1"/>
    </xf>
    <xf numFmtId="0" fontId="19" fillId="0" borderId="8" xfId="7" applyFont="1" applyBorder="1" applyAlignment="1">
      <alignment horizontal="center" vertical="center" wrapText="1"/>
    </xf>
    <xf numFmtId="0" fontId="20" fillId="6" borderId="44" xfId="7" applyFont="1" applyFill="1" applyBorder="1" applyAlignment="1">
      <alignment horizontal="left" vertical="top" wrapText="1"/>
    </xf>
    <xf numFmtId="0" fontId="21" fillId="4" borderId="13" xfId="7" applyFont="1" applyFill="1" applyBorder="1" applyAlignment="1">
      <alignment horizontal="left" vertical="top" wrapText="1"/>
    </xf>
    <xf numFmtId="0" fontId="21" fillId="4" borderId="29" xfId="7" applyFont="1" applyFill="1" applyBorder="1" applyAlignment="1">
      <alignment horizontal="left" vertical="top" wrapText="1"/>
    </xf>
    <xf numFmtId="0" fontId="21" fillId="4" borderId="14" xfId="7" applyFont="1" applyFill="1" applyBorder="1" applyAlignment="1">
      <alignment horizontal="left" vertical="top" wrapText="1"/>
    </xf>
    <xf numFmtId="0" fontId="21" fillId="0" borderId="8" xfId="7" applyFont="1" applyBorder="1" applyAlignment="1">
      <alignment horizontal="left" vertical="top" wrapText="1"/>
    </xf>
    <xf numFmtId="0" fontId="5" fillId="0" borderId="0" xfId="7" applyAlignment="1">
      <alignment vertical="center" wrapText="1"/>
    </xf>
    <xf numFmtId="0" fontId="21" fillId="0" borderId="13" xfId="0" applyFont="1" applyBorder="1" applyAlignment="1">
      <alignment horizontal="left" vertical="top" wrapText="1"/>
    </xf>
    <xf numFmtId="0" fontId="21" fillId="0" borderId="29" xfId="0" applyFont="1" applyBorder="1" applyAlignment="1">
      <alignment horizontal="left" vertical="top" wrapText="1"/>
    </xf>
    <xf numFmtId="0" fontId="21" fillId="0" borderId="14" xfId="0" applyFont="1" applyBorder="1" applyAlignment="1">
      <alignment horizontal="left" vertical="top" wrapText="1"/>
    </xf>
    <xf numFmtId="0" fontId="0" fillId="0" borderId="13" xfId="0" applyBorder="1" applyAlignment="1">
      <alignment horizontal="left" vertical="top" wrapText="1"/>
    </xf>
    <xf numFmtId="0" fontId="0" fillId="0" borderId="29" xfId="0" applyBorder="1" applyAlignment="1">
      <alignment horizontal="left" vertical="top" wrapText="1"/>
    </xf>
    <xf numFmtId="0" fontId="0" fillId="0" borderId="14" xfId="0" applyBorder="1" applyAlignment="1">
      <alignment horizontal="left" vertical="top" wrapText="1"/>
    </xf>
    <xf numFmtId="0" fontId="7" fillId="3" borderId="34" xfId="7" applyFont="1" applyFill="1" applyBorder="1" applyAlignment="1">
      <alignment horizontal="right"/>
    </xf>
    <xf numFmtId="0" fontId="7" fillId="3" borderId="17" xfId="7" applyFont="1" applyFill="1" applyBorder="1" applyAlignment="1">
      <alignment horizontal="right"/>
    </xf>
    <xf numFmtId="0" fontId="7" fillId="3" borderId="47" xfId="7" applyFont="1" applyFill="1" applyBorder="1" applyAlignment="1">
      <alignment horizontal="right"/>
    </xf>
    <xf numFmtId="0" fontId="23" fillId="0" borderId="34" xfId="7" applyFont="1" applyBorder="1" applyAlignment="1">
      <alignment wrapText="1"/>
    </xf>
    <xf numFmtId="0" fontId="23" fillId="0" borderId="17" xfId="7" applyFont="1" applyBorder="1" applyAlignment="1">
      <alignment wrapText="1"/>
    </xf>
    <xf numFmtId="0" fontId="23" fillId="0" borderId="47" xfId="7" applyFont="1" applyBorder="1" applyAlignment="1">
      <alignment wrapText="1"/>
    </xf>
    <xf numFmtId="0" fontId="19" fillId="0" borderId="7" xfId="7" applyFont="1" applyBorder="1" applyAlignment="1">
      <alignment horizontal="center" vertical="center" wrapText="1"/>
    </xf>
    <xf numFmtId="0" fontId="19" fillId="0" borderId="44" xfId="7" applyFont="1" applyBorder="1" applyAlignment="1">
      <alignment horizontal="center" vertical="center" wrapText="1"/>
    </xf>
    <xf numFmtId="0" fontId="35" fillId="13" borderId="11" xfId="7" applyFont="1" applyFill="1" applyBorder="1" applyAlignment="1">
      <alignment horizontal="left" vertical="top" wrapText="1"/>
    </xf>
    <xf numFmtId="0" fontId="19" fillId="13" borderId="17" xfId="7" applyFont="1" applyFill="1" applyBorder="1" applyAlignment="1">
      <alignment horizontal="left" vertical="top" wrapText="1"/>
    </xf>
    <xf numFmtId="0" fontId="19" fillId="13" borderId="52" xfId="7" applyFont="1" applyFill="1" applyBorder="1" applyAlignment="1">
      <alignment horizontal="left" vertical="top" wrapText="1"/>
    </xf>
    <xf numFmtId="0" fontId="36" fillId="0" borderId="3" xfId="0" applyFont="1" applyBorder="1" applyAlignment="1">
      <alignment horizontal="center" vertical="center" wrapText="1"/>
    </xf>
    <xf numFmtId="0" fontId="36" fillId="0" borderId="37" xfId="0" applyFont="1" applyBorder="1" applyAlignment="1">
      <alignment horizontal="left" vertical="center" wrapText="1"/>
    </xf>
    <xf numFmtId="0" fontId="36" fillId="0" borderId="38" xfId="0" applyFont="1" applyBorder="1" applyAlignment="1">
      <alignment horizontal="left" vertical="center" wrapText="1"/>
    </xf>
    <xf numFmtId="0" fontId="36" fillId="0" borderId="39" xfId="0" applyFont="1" applyBorder="1" applyAlignment="1">
      <alignment horizontal="left" vertical="center" wrapText="1"/>
    </xf>
    <xf numFmtId="0" fontId="21" fillId="0" borderId="44" xfId="7" applyFont="1" applyBorder="1" applyAlignment="1">
      <alignment horizontal="left" vertical="center" wrapText="1"/>
    </xf>
    <xf numFmtId="0" fontId="19" fillId="0" borderId="42" xfId="7" applyFont="1" applyBorder="1" applyAlignment="1">
      <alignment horizontal="left" vertical="top" wrapText="1"/>
    </xf>
    <xf numFmtId="0" fontId="19" fillId="0" borderId="8" xfId="7" applyFont="1" applyBorder="1" applyAlignment="1">
      <alignment horizontal="left" vertical="top" wrapText="1"/>
    </xf>
    <xf numFmtId="0" fontId="21" fillId="0" borderId="42" xfId="7" applyFont="1" applyBorder="1" applyAlignment="1">
      <alignment horizontal="center" vertical="center" wrapText="1"/>
    </xf>
    <xf numFmtId="0" fontId="21" fillId="0" borderId="8" xfId="7" applyFont="1" applyBorder="1" applyAlignment="1">
      <alignment horizontal="center" vertical="center" wrapText="1"/>
    </xf>
    <xf numFmtId="14" fontId="21" fillId="0" borderId="60" xfId="7" applyNumberFormat="1" applyFont="1" applyBorder="1" applyAlignment="1">
      <alignment horizontal="center" vertical="center" wrapText="1"/>
    </xf>
    <xf numFmtId="14" fontId="21" fillId="0" borderId="54" xfId="7" applyNumberFormat="1" applyFont="1" applyBorder="1" applyAlignment="1">
      <alignment horizontal="center" vertical="center" wrapText="1"/>
    </xf>
    <xf numFmtId="0" fontId="19" fillId="0" borderId="45" xfId="7" applyFont="1" applyBorder="1" applyAlignment="1">
      <alignment horizontal="left" vertical="top" wrapText="1"/>
    </xf>
    <xf numFmtId="0" fontId="19" fillId="0" borderId="20" xfId="7" applyFont="1" applyBorder="1" applyAlignment="1">
      <alignment horizontal="left" vertical="top" wrapText="1"/>
    </xf>
    <xf numFmtId="0" fontId="21" fillId="0" borderId="41" xfId="7" applyFont="1" applyBorder="1" applyAlignment="1">
      <alignment horizontal="left" vertical="top" wrapText="1"/>
    </xf>
    <xf numFmtId="0" fontId="21" fillId="0" borderId="4" xfId="7" applyFont="1" applyBorder="1" applyAlignment="1">
      <alignment horizontal="left" vertical="top" wrapText="1"/>
    </xf>
    <xf numFmtId="0" fontId="21" fillId="0" borderId="46" xfId="7" applyFont="1" applyBorder="1" applyAlignment="1">
      <alignment horizontal="left" vertical="top" wrapText="1"/>
    </xf>
    <xf numFmtId="0" fontId="21" fillId="0" borderId="0" xfId="7" applyFont="1" applyAlignment="1">
      <alignment horizontal="left" vertical="top" wrapText="1"/>
    </xf>
    <xf numFmtId="0" fontId="21" fillId="0" borderId="9" xfId="7" applyFont="1" applyBorder="1" applyAlignment="1">
      <alignment horizontal="left" vertical="top" wrapText="1"/>
    </xf>
    <xf numFmtId="0" fontId="21" fillId="0" borderId="41" xfId="7" applyFont="1" applyBorder="1" applyAlignment="1">
      <alignment horizontal="center" vertical="top" wrapText="1"/>
    </xf>
    <xf numFmtId="0" fontId="21" fillId="0" borderId="4" xfId="7" applyFont="1" applyBorder="1" applyAlignment="1">
      <alignment horizontal="center" vertical="top" wrapText="1"/>
    </xf>
    <xf numFmtId="0" fontId="21" fillId="0" borderId="46" xfId="7" applyFont="1" applyBorder="1" applyAlignment="1">
      <alignment horizontal="center" vertical="top" wrapText="1"/>
    </xf>
    <xf numFmtId="0" fontId="21" fillId="0" borderId="21" xfId="7" applyFont="1" applyBorder="1" applyAlignment="1">
      <alignment horizontal="center" vertical="top" wrapText="1"/>
    </xf>
    <xf numFmtId="0" fontId="21" fillId="0" borderId="25" xfId="7" applyFont="1" applyBorder="1" applyAlignment="1">
      <alignment horizontal="center" vertical="top" wrapText="1"/>
    </xf>
    <xf numFmtId="0" fontId="21" fillId="0" borderId="26" xfId="7" applyFont="1" applyBorder="1" applyAlignment="1">
      <alignment horizontal="center" vertical="top" wrapText="1"/>
    </xf>
    <xf numFmtId="0" fontId="4" fillId="7" borderId="34" xfId="2" applyFont="1" applyFill="1" applyBorder="1" applyAlignment="1">
      <alignment horizontal="center"/>
    </xf>
    <xf numFmtId="0" fontId="4" fillId="7" borderId="17" xfId="2" applyFont="1" applyFill="1" applyBorder="1" applyAlignment="1">
      <alignment horizontal="center"/>
    </xf>
    <xf numFmtId="0" fontId="4" fillId="7" borderId="47" xfId="2" applyFont="1" applyFill="1" applyBorder="1" applyAlignment="1">
      <alignment horizontal="center"/>
    </xf>
  </cellXfs>
  <cellStyles count="9">
    <cellStyle name="Euro" xfId="3" xr:uid="{00000000-0005-0000-0000-000000000000}"/>
    <cellStyle name="Lien hypertexte" xfId="1" builtinId="8"/>
    <cellStyle name="Normal" xfId="0" builtinId="0"/>
    <cellStyle name="Normal 2" xfId="4" xr:uid="{00000000-0005-0000-0000-000003000000}"/>
    <cellStyle name="Normal 3" xfId="6" xr:uid="{00000000-0005-0000-0000-000004000000}"/>
    <cellStyle name="Normal 3 2" xfId="7" xr:uid="{D503568C-2797-4533-A5C1-4F1C094BB69A}"/>
    <cellStyle name="Normal 4 2" xfId="2" xr:uid="{00000000-0005-0000-0000-000005000000}"/>
    <cellStyle name="Normal_QPC 2006" xfId="8" xr:uid="{88B84195-ACE5-47B3-AE3B-966BD83BB642}"/>
    <cellStyle name="Pourcentage 2" xfId="5" xr:uid="{00000000-0005-0000-0000-000006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161809</xdr:rowOff>
    </xdr:from>
    <xdr:to>
      <xdr:col>1</xdr:col>
      <xdr:colOff>1085850</xdr:colOff>
      <xdr:row>3</xdr:row>
      <xdr:rowOff>4995</xdr:rowOff>
    </xdr:to>
    <xdr:grpSp>
      <xdr:nvGrpSpPr>
        <xdr:cNvPr id="2" name="Group 2">
          <a:extLst>
            <a:ext uri="{FF2B5EF4-FFF2-40B4-BE49-F238E27FC236}">
              <a16:creationId xmlns:a16="http://schemas.microsoft.com/office/drawing/2014/main" id="{00000000-0008-0000-0000-000002000000}"/>
            </a:ext>
          </a:extLst>
        </xdr:cNvPr>
        <xdr:cNvGrpSpPr>
          <a:grpSpLocks/>
        </xdr:cNvGrpSpPr>
      </xdr:nvGrpSpPr>
      <xdr:grpSpPr bwMode="auto">
        <a:xfrm>
          <a:off x="0" y="161809"/>
          <a:ext cx="1847850" cy="357536"/>
          <a:chOff x="148" y="30"/>
          <a:chExt cx="136" cy="54"/>
        </a:xfrm>
      </xdr:grpSpPr>
      <xdr:pic>
        <xdr:nvPicPr>
          <xdr:cNvPr id="3" name="Picture 3" descr="Scee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 y="30"/>
            <a:ext cx="92"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148" y="33"/>
            <a:ext cx="16" cy="51"/>
          </a:xfrm>
          <a:prstGeom prst="rect">
            <a:avLst/>
          </a:prstGeom>
          <a:noFill/>
          <a:ln w="9525">
            <a:noFill/>
            <a:miter lim="800000"/>
            <a:headEnd/>
            <a:tailEnd/>
          </a:ln>
        </xdr:spPr>
        <xdr:txBody>
          <a:bodyPr wrap="none" lIns="36576" tIns="41148" rIns="0" bIns="0" anchor="t" upright="1">
            <a:spAutoFit/>
          </a:bodyPr>
          <a:lstStyle/>
          <a:p>
            <a:pPr algn="l" rtl="0">
              <a:defRPr sz="1000"/>
            </a:pPr>
            <a:r>
              <a:rPr lang="fr-FR" sz="2000" b="1" i="0" u="none" strike="noStrike" baseline="0">
                <a:solidFill>
                  <a:srgbClr val="000080"/>
                </a:solidFill>
                <a:latin typeface="Arial"/>
                <a:cs typeface="Arial"/>
              </a:rPr>
              <a:t>&amp;</a:t>
            </a:r>
          </a:p>
        </xdr:txBody>
      </xdr:sp>
      <xdr:pic>
        <xdr:nvPicPr>
          <xdr:cNvPr id="5" name="Picture 5" descr="logo-Av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 y="7"/>
            <a:ext cx="101"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123825</xdr:rowOff>
    </xdr:from>
    <xdr:to>
      <xdr:col>1</xdr:col>
      <xdr:colOff>314325</xdr:colOff>
      <xdr:row>1</xdr:row>
      <xdr:rowOff>142875</xdr:rowOff>
    </xdr:to>
    <xdr:grpSp>
      <xdr:nvGrpSpPr>
        <xdr:cNvPr id="2" name="Group 32">
          <a:extLst>
            <a:ext uri="{FF2B5EF4-FFF2-40B4-BE49-F238E27FC236}">
              <a16:creationId xmlns:a16="http://schemas.microsoft.com/office/drawing/2014/main" id="{8108E0FD-637F-4462-A23C-E0C6A43CBC0C}"/>
            </a:ext>
          </a:extLst>
        </xdr:cNvPr>
        <xdr:cNvGrpSpPr>
          <a:grpSpLocks/>
        </xdr:cNvGrpSpPr>
      </xdr:nvGrpSpPr>
      <xdr:grpSpPr bwMode="auto">
        <a:xfrm>
          <a:off x="104775" y="123825"/>
          <a:ext cx="933450" cy="361950"/>
          <a:chOff x="148" y="7"/>
          <a:chExt cx="136" cy="54"/>
        </a:xfrm>
      </xdr:grpSpPr>
      <xdr:pic>
        <xdr:nvPicPr>
          <xdr:cNvPr id="3" name="Picture 33" descr="Sceet">
            <a:extLst>
              <a:ext uri="{FF2B5EF4-FFF2-40B4-BE49-F238E27FC236}">
                <a16:creationId xmlns:a16="http://schemas.microsoft.com/office/drawing/2014/main" id="{7044649E-9BB5-0AD8-4474-D46DF570F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 y="30"/>
            <a:ext cx="92"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35" descr="logo-Avo">
            <a:extLst>
              <a:ext uri="{FF2B5EF4-FFF2-40B4-BE49-F238E27FC236}">
                <a16:creationId xmlns:a16="http://schemas.microsoft.com/office/drawing/2014/main" id="{2CBA7250-540C-860F-FA46-8664343E84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 y="7"/>
            <a:ext cx="101"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opLeftCell="F4" workbookViewId="0">
      <selection activeCell="F4" sqref="F4:G28"/>
    </sheetView>
  </sheetViews>
  <sheetFormatPr defaultColWidth="11.42578125" defaultRowHeight="13.15"/>
  <cols>
    <col min="2" max="3" width="47.5703125" customWidth="1"/>
    <col min="4" max="4" width="16" customWidth="1"/>
    <col min="5" max="5" width="14.5703125" customWidth="1"/>
    <col min="6" max="6" width="22.7109375" customWidth="1"/>
    <col min="7" max="7" width="20.42578125" customWidth="1"/>
  </cols>
  <sheetData>
    <row r="1" spans="1:12">
      <c r="A1" s="1"/>
      <c r="B1" s="244" t="s">
        <v>0</v>
      </c>
      <c r="C1" s="244"/>
      <c r="D1" s="244"/>
      <c r="E1" s="244"/>
      <c r="F1" s="244"/>
      <c r="G1" s="244"/>
    </row>
    <row r="2" spans="1:12" ht="13.9" thickBot="1">
      <c r="A2" s="1"/>
      <c r="B2" s="245"/>
      <c r="C2" s="245"/>
      <c r="D2" s="245"/>
      <c r="E2" s="245"/>
      <c r="F2" s="245"/>
      <c r="G2" s="245"/>
    </row>
    <row r="3" spans="1:12" ht="14.45" thickTop="1" thickBot="1">
      <c r="A3" s="1"/>
      <c r="B3" s="2" t="s">
        <v>1</v>
      </c>
      <c r="C3" s="2"/>
      <c r="D3" s="246">
        <v>2022</v>
      </c>
      <c r="E3" s="247"/>
      <c r="F3" s="247"/>
      <c r="G3" s="3" t="s">
        <v>2</v>
      </c>
    </row>
    <row r="4" spans="1:12">
      <c r="A4" s="248" t="s">
        <v>3</v>
      </c>
      <c r="B4" s="249" t="s">
        <v>4</v>
      </c>
      <c r="C4" s="249" t="s">
        <v>5</v>
      </c>
      <c r="D4" s="249" t="s">
        <v>6</v>
      </c>
      <c r="E4" s="249"/>
      <c r="F4" s="251" t="s">
        <v>7</v>
      </c>
      <c r="G4" s="252"/>
    </row>
    <row r="5" spans="1:12">
      <c r="A5" s="249"/>
      <c r="B5" s="249"/>
      <c r="C5" s="249"/>
      <c r="D5" s="249"/>
      <c r="E5" s="249"/>
      <c r="F5" s="253"/>
      <c r="G5" s="254"/>
    </row>
    <row r="6" spans="1:12">
      <c r="A6" s="249"/>
      <c r="B6" s="250"/>
      <c r="C6" s="249"/>
      <c r="D6" s="31" t="s">
        <v>8</v>
      </c>
      <c r="E6" s="31" t="s">
        <v>9</v>
      </c>
      <c r="F6" s="253"/>
      <c r="G6" s="254"/>
    </row>
    <row r="7" spans="1:12" ht="24" customHeight="1">
      <c r="A7" s="239" t="s">
        <v>10</v>
      </c>
      <c r="B7" s="243" t="s">
        <v>11</v>
      </c>
      <c r="C7" s="243" t="s">
        <v>12</v>
      </c>
      <c r="D7" s="4">
        <v>44623</v>
      </c>
      <c r="E7" s="242" t="s">
        <v>13</v>
      </c>
      <c r="F7" s="253"/>
      <c r="G7" s="254"/>
      <c r="I7" s="5"/>
    </row>
    <row r="8" spans="1:12" ht="48" customHeight="1">
      <c r="A8" s="239"/>
      <c r="B8" s="243"/>
      <c r="C8" s="243"/>
      <c r="D8" s="4" t="s">
        <v>14</v>
      </c>
      <c r="E8" s="242"/>
      <c r="F8" s="253"/>
      <c r="G8" s="254"/>
      <c r="I8" s="6"/>
      <c r="K8" s="7"/>
      <c r="L8" s="8"/>
    </row>
    <row r="9" spans="1:12" ht="24" customHeight="1">
      <c r="A9" s="239" t="s">
        <v>15</v>
      </c>
      <c r="B9" s="263" t="s">
        <v>16</v>
      </c>
      <c r="C9" s="240" t="s">
        <v>17</v>
      </c>
      <c r="D9" s="4">
        <v>44620</v>
      </c>
      <c r="E9" s="242" t="s">
        <v>13</v>
      </c>
      <c r="F9" s="253"/>
      <c r="G9" s="254"/>
      <c r="I9" s="6"/>
      <c r="J9" s="7"/>
      <c r="K9" s="7"/>
      <c r="L9" s="8"/>
    </row>
    <row r="10" spans="1:12" ht="46.5" customHeight="1">
      <c r="A10" s="239"/>
      <c r="B10" s="264"/>
      <c r="C10" s="241"/>
      <c r="D10" s="4" t="s">
        <v>18</v>
      </c>
      <c r="E10" s="242"/>
      <c r="F10" s="253"/>
      <c r="G10" s="254"/>
      <c r="I10" s="9"/>
      <c r="J10" s="7"/>
      <c r="K10" s="7"/>
      <c r="L10" s="8"/>
    </row>
    <row r="11" spans="1:12" ht="24" customHeight="1">
      <c r="A11" s="265" t="s">
        <v>19</v>
      </c>
      <c r="B11" s="266" t="s">
        <v>20</v>
      </c>
      <c r="C11" s="257" t="s">
        <v>21</v>
      </c>
      <c r="D11" s="258"/>
      <c r="E11" s="259"/>
      <c r="F11" s="253"/>
      <c r="G11" s="254"/>
      <c r="I11" s="9"/>
    </row>
    <row r="12" spans="1:12" ht="36" customHeight="1">
      <c r="A12" s="265"/>
      <c r="B12" s="266"/>
      <c r="C12" s="260"/>
      <c r="D12" s="261"/>
      <c r="E12" s="262"/>
      <c r="F12" s="253"/>
      <c r="G12" s="254"/>
      <c r="I12" s="9"/>
    </row>
    <row r="13" spans="1:12" ht="24" customHeight="1">
      <c r="A13" s="265" t="s">
        <v>22</v>
      </c>
      <c r="B13" s="266" t="s">
        <v>23</v>
      </c>
      <c r="C13" s="257" t="s">
        <v>24</v>
      </c>
      <c r="D13" s="258"/>
      <c r="E13" s="259"/>
      <c r="F13" s="253"/>
      <c r="G13" s="254"/>
      <c r="I13" s="9"/>
    </row>
    <row r="14" spans="1:12" ht="22.5" customHeight="1">
      <c r="A14" s="265"/>
      <c r="B14" s="266"/>
      <c r="C14" s="260"/>
      <c r="D14" s="261"/>
      <c r="E14" s="262"/>
      <c r="F14" s="253"/>
      <c r="G14" s="254"/>
      <c r="I14" s="9"/>
    </row>
    <row r="15" spans="1:12" ht="24" customHeight="1">
      <c r="A15" s="239" t="s">
        <v>25</v>
      </c>
      <c r="B15" s="267" t="s">
        <v>26</v>
      </c>
      <c r="C15" s="243" t="s">
        <v>27</v>
      </c>
      <c r="D15" s="4">
        <v>44621</v>
      </c>
      <c r="E15" s="242" t="s">
        <v>13</v>
      </c>
      <c r="F15" s="253"/>
      <c r="G15" s="254"/>
      <c r="I15" s="9"/>
    </row>
    <row r="16" spans="1:12" ht="56.25" customHeight="1">
      <c r="A16" s="239"/>
      <c r="B16" s="267"/>
      <c r="C16" s="243"/>
      <c r="D16" s="30" t="s">
        <v>28</v>
      </c>
      <c r="E16" s="242"/>
      <c r="F16" s="253"/>
      <c r="G16" s="254"/>
      <c r="I16" s="6"/>
    </row>
    <row r="17" spans="1:9" ht="24" customHeight="1">
      <c r="A17" s="239" t="s">
        <v>29</v>
      </c>
      <c r="B17" s="243" t="s">
        <v>30</v>
      </c>
      <c r="C17" s="243" t="s">
        <v>31</v>
      </c>
      <c r="D17" s="4">
        <v>44621</v>
      </c>
      <c r="E17" s="242" t="s">
        <v>13</v>
      </c>
      <c r="F17" s="253"/>
      <c r="G17" s="254"/>
      <c r="I17" s="6"/>
    </row>
    <row r="18" spans="1:9" ht="40.5" customHeight="1">
      <c r="A18" s="239"/>
      <c r="B18" s="243"/>
      <c r="C18" s="243"/>
      <c r="D18" s="10" t="s">
        <v>32</v>
      </c>
      <c r="E18" s="242"/>
      <c r="F18" s="253"/>
      <c r="G18" s="254"/>
    </row>
    <row r="19" spans="1:9" ht="24" customHeight="1">
      <c r="A19" s="239" t="s">
        <v>33</v>
      </c>
      <c r="B19" s="243" t="s">
        <v>34</v>
      </c>
      <c r="C19" s="243" t="s">
        <v>35</v>
      </c>
      <c r="D19" s="4">
        <v>44621</v>
      </c>
      <c r="E19" s="242" t="s">
        <v>13</v>
      </c>
      <c r="F19" s="253"/>
      <c r="G19" s="254"/>
    </row>
    <row r="20" spans="1:9" ht="24" customHeight="1">
      <c r="A20" s="239"/>
      <c r="B20" s="243"/>
      <c r="C20" s="243"/>
      <c r="D20" s="10" t="s">
        <v>36</v>
      </c>
      <c r="E20" s="242"/>
      <c r="F20" s="253"/>
      <c r="G20" s="254"/>
    </row>
    <row r="21" spans="1:9" ht="24" customHeight="1">
      <c r="A21" s="239" t="s">
        <v>33</v>
      </c>
      <c r="B21" s="243" t="s">
        <v>37</v>
      </c>
      <c r="C21" s="243" t="s">
        <v>35</v>
      </c>
      <c r="D21" s="4">
        <v>44622</v>
      </c>
      <c r="E21" s="242" t="s">
        <v>13</v>
      </c>
      <c r="F21" s="253"/>
      <c r="G21" s="254"/>
    </row>
    <row r="22" spans="1:9" ht="24" customHeight="1">
      <c r="A22" s="239"/>
      <c r="B22" s="243"/>
      <c r="C22" s="243"/>
      <c r="D22" s="10" t="s">
        <v>38</v>
      </c>
      <c r="E22" s="242"/>
      <c r="F22" s="253"/>
      <c r="G22" s="254"/>
    </row>
    <row r="23" spans="1:9" ht="18.75" customHeight="1">
      <c r="A23" s="239" t="s">
        <v>39</v>
      </c>
      <c r="B23" s="240" t="s">
        <v>40</v>
      </c>
      <c r="C23" s="243" t="s">
        <v>41</v>
      </c>
      <c r="D23" s="4">
        <v>44622</v>
      </c>
      <c r="E23" s="242" t="s">
        <v>13</v>
      </c>
      <c r="F23" s="253"/>
      <c r="G23" s="254"/>
    </row>
    <row r="24" spans="1:9" ht="40.5" customHeight="1">
      <c r="A24" s="239"/>
      <c r="B24" s="241"/>
      <c r="C24" s="243"/>
      <c r="D24" s="10" t="s">
        <v>42</v>
      </c>
      <c r="E24" s="242"/>
      <c r="F24" s="253"/>
      <c r="G24" s="254"/>
    </row>
    <row r="25" spans="1:9" ht="24" customHeight="1">
      <c r="A25" s="239" t="s">
        <v>43</v>
      </c>
      <c r="B25" s="243" t="s">
        <v>44</v>
      </c>
      <c r="C25" s="243" t="s">
        <v>45</v>
      </c>
      <c r="D25" s="4">
        <v>44620</v>
      </c>
      <c r="E25" s="242" t="s">
        <v>13</v>
      </c>
      <c r="F25" s="253"/>
      <c r="G25" s="254"/>
    </row>
    <row r="26" spans="1:9" ht="39.75" customHeight="1">
      <c r="A26" s="239"/>
      <c r="B26" s="243"/>
      <c r="C26" s="243"/>
      <c r="D26" s="4" t="s">
        <v>28</v>
      </c>
      <c r="E26" s="242"/>
      <c r="F26" s="253"/>
      <c r="G26" s="254"/>
    </row>
    <row r="27" spans="1:9" ht="24" customHeight="1">
      <c r="A27" s="239" t="s">
        <v>46</v>
      </c>
      <c r="B27" s="243" t="s">
        <v>47</v>
      </c>
      <c r="C27" s="243" t="s">
        <v>48</v>
      </c>
      <c r="D27" s="4">
        <v>44623</v>
      </c>
      <c r="E27" s="242" t="s">
        <v>13</v>
      </c>
      <c r="F27" s="253"/>
      <c r="G27" s="254"/>
    </row>
    <row r="28" spans="1:9" ht="24" customHeight="1">
      <c r="A28" s="239"/>
      <c r="B28" s="243"/>
      <c r="C28" s="243"/>
      <c r="D28" s="30" t="s">
        <v>49</v>
      </c>
      <c r="E28" s="242"/>
      <c r="F28" s="255"/>
      <c r="G28" s="256"/>
    </row>
  </sheetData>
  <mergeCells count="49">
    <mergeCell ref="C15:C16"/>
    <mergeCell ref="E15:E16"/>
    <mergeCell ref="C13:E14"/>
    <mergeCell ref="A17:A18"/>
    <mergeCell ref="B17:B18"/>
    <mergeCell ref="C17:C18"/>
    <mergeCell ref="E17:E18"/>
    <mergeCell ref="A11:A12"/>
    <mergeCell ref="B11:B12"/>
    <mergeCell ref="A13:A14"/>
    <mergeCell ref="B13:B14"/>
    <mergeCell ref="A15:A16"/>
    <mergeCell ref="B15:B16"/>
    <mergeCell ref="B1:G2"/>
    <mergeCell ref="D3:F3"/>
    <mergeCell ref="A4:A6"/>
    <mergeCell ref="B4:B6"/>
    <mergeCell ref="C4:C6"/>
    <mergeCell ref="D4:E5"/>
    <mergeCell ref="F4:G28"/>
    <mergeCell ref="A7:A8"/>
    <mergeCell ref="B7:B8"/>
    <mergeCell ref="C7:C8"/>
    <mergeCell ref="E9:E10"/>
    <mergeCell ref="C11:E12"/>
    <mergeCell ref="E7:E8"/>
    <mergeCell ref="A9:A10"/>
    <mergeCell ref="B9:B10"/>
    <mergeCell ref="C9:C10"/>
    <mergeCell ref="A19:A20"/>
    <mergeCell ref="B19:B20"/>
    <mergeCell ref="C19:C20"/>
    <mergeCell ref="E19:E20"/>
    <mergeCell ref="A21:A22"/>
    <mergeCell ref="B21:B22"/>
    <mergeCell ref="C21:C22"/>
    <mergeCell ref="E21:E22"/>
    <mergeCell ref="A23:A24"/>
    <mergeCell ref="B23:B24"/>
    <mergeCell ref="E23:E24"/>
    <mergeCell ref="C23:C24"/>
    <mergeCell ref="A27:A28"/>
    <mergeCell ref="B27:B28"/>
    <mergeCell ref="C27:C28"/>
    <mergeCell ref="E27:E28"/>
    <mergeCell ref="A25:A26"/>
    <mergeCell ref="B25:B26"/>
    <mergeCell ref="C25:C26"/>
    <mergeCell ref="E25:E2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F3F0B-2818-47F9-8997-E98C8EA3C3CF}">
  <dimension ref="A1:IS80"/>
  <sheetViews>
    <sheetView showGridLines="0" tabSelected="1" zoomScale="69" zoomScaleNormal="69" workbookViewId="0">
      <selection activeCell="D7" sqref="D7"/>
    </sheetView>
  </sheetViews>
  <sheetFormatPr defaultColWidth="11.42578125" defaultRowHeight="13.15"/>
  <cols>
    <col min="1" max="1" width="10.85546875" style="53" customWidth="1"/>
    <col min="2" max="2" width="11.140625" style="53" customWidth="1"/>
    <col min="3" max="3" width="25.140625" style="53" customWidth="1"/>
    <col min="4" max="4" width="15.42578125" style="53" customWidth="1"/>
    <col min="5" max="6" width="9.85546875" style="53" customWidth="1"/>
    <col min="7" max="7" width="6.5703125" style="53" customWidth="1"/>
    <col min="8" max="8" width="65.28515625" style="53" customWidth="1"/>
    <col min="9" max="11" width="11.42578125" style="53"/>
    <col min="12" max="12" width="9.140625" style="53" customWidth="1"/>
    <col min="13" max="14" width="6.140625" style="53" customWidth="1"/>
    <col min="15" max="15" width="26.42578125" style="53" customWidth="1"/>
    <col min="16" max="16" width="17.140625" style="53" customWidth="1"/>
    <col min="17" max="17" width="40" style="53" customWidth="1"/>
    <col min="18" max="18" width="11.42578125" style="53"/>
    <col min="19" max="19" width="22.140625" style="53" customWidth="1"/>
    <col min="20" max="20" width="37.85546875" style="53" customWidth="1"/>
    <col min="21" max="21" width="35.85546875" style="53" customWidth="1"/>
    <col min="22" max="22" width="16.85546875" style="53" customWidth="1"/>
    <col min="23" max="23" width="17.28515625" style="53" customWidth="1"/>
    <col min="24" max="24" width="27.42578125" style="53" customWidth="1"/>
    <col min="25" max="257" width="11.42578125" style="53"/>
    <col min="258" max="258" width="10.85546875" style="53" customWidth="1"/>
    <col min="259" max="259" width="11.140625" style="53" customWidth="1"/>
    <col min="260" max="260" width="11.85546875" style="53" customWidth="1"/>
    <col min="261" max="261" width="15.42578125" style="53" customWidth="1"/>
    <col min="262" max="263" width="9.85546875" style="53" customWidth="1"/>
    <col min="264" max="264" width="6.5703125" style="53" customWidth="1"/>
    <col min="265" max="267" width="11.42578125" style="53"/>
    <col min="268" max="268" width="9.140625" style="53" customWidth="1"/>
    <col min="269" max="270" width="6.140625" style="53" customWidth="1"/>
    <col min="271" max="271" width="26.42578125" style="53" customWidth="1"/>
    <col min="272" max="272" width="17.140625" style="53" customWidth="1"/>
    <col min="273" max="273" width="40" style="53" customWidth="1"/>
    <col min="274" max="275" width="11.42578125" style="53"/>
    <col min="276" max="276" width="37.85546875" style="53" customWidth="1"/>
    <col min="277" max="277" width="35.85546875" style="53" customWidth="1"/>
    <col min="278" max="278" width="16.85546875" style="53" customWidth="1"/>
    <col min="279" max="279" width="17.28515625" style="53" customWidth="1"/>
    <col min="280" max="280" width="27.42578125" style="53" customWidth="1"/>
    <col min="281" max="513" width="11.42578125" style="53"/>
    <col min="514" max="514" width="10.85546875" style="53" customWidth="1"/>
    <col min="515" max="515" width="11.140625" style="53" customWidth="1"/>
    <col min="516" max="516" width="11.85546875" style="53" customWidth="1"/>
    <col min="517" max="517" width="15.42578125" style="53" customWidth="1"/>
    <col min="518" max="519" width="9.85546875" style="53" customWidth="1"/>
    <col min="520" max="520" width="6.5703125" style="53" customWidth="1"/>
    <col min="521" max="523" width="11.42578125" style="53"/>
    <col min="524" max="524" width="9.140625" style="53" customWidth="1"/>
    <col min="525" max="526" width="6.140625" style="53" customWidth="1"/>
    <col min="527" max="527" width="26.42578125" style="53" customWidth="1"/>
    <col min="528" max="528" width="17.140625" style="53" customWidth="1"/>
    <col min="529" max="529" width="40" style="53" customWidth="1"/>
    <col min="530" max="531" width="11.42578125" style="53"/>
    <col min="532" max="532" width="37.85546875" style="53" customWidth="1"/>
    <col min="533" max="533" width="35.85546875" style="53" customWidth="1"/>
    <col min="534" max="534" width="16.85546875" style="53" customWidth="1"/>
    <col min="535" max="535" width="17.28515625" style="53" customWidth="1"/>
    <col min="536" max="536" width="27.42578125" style="53" customWidth="1"/>
    <col min="537" max="769" width="11.42578125" style="53"/>
    <col min="770" max="770" width="10.85546875" style="53" customWidth="1"/>
    <col min="771" max="771" width="11.140625" style="53" customWidth="1"/>
    <col min="772" max="772" width="11.85546875" style="53" customWidth="1"/>
    <col min="773" max="773" width="15.42578125" style="53" customWidth="1"/>
    <col min="774" max="775" width="9.85546875" style="53" customWidth="1"/>
    <col min="776" max="776" width="6.5703125" style="53" customWidth="1"/>
    <col min="777" max="779" width="11.42578125" style="53"/>
    <col min="780" max="780" width="9.140625" style="53" customWidth="1"/>
    <col min="781" max="782" width="6.140625" style="53" customWidth="1"/>
    <col min="783" max="783" width="26.42578125" style="53" customWidth="1"/>
    <col min="784" max="784" width="17.140625" style="53" customWidth="1"/>
    <col min="785" max="785" width="40" style="53" customWidth="1"/>
    <col min="786" max="787" width="11.42578125" style="53"/>
    <col min="788" max="788" width="37.85546875" style="53" customWidth="1"/>
    <col min="789" max="789" width="35.85546875" style="53" customWidth="1"/>
    <col min="790" max="790" width="16.85546875" style="53" customWidth="1"/>
    <col min="791" max="791" width="17.28515625" style="53" customWidth="1"/>
    <col min="792" max="792" width="27.42578125" style="53" customWidth="1"/>
    <col min="793" max="1025" width="11.42578125" style="53"/>
    <col min="1026" max="1026" width="10.85546875" style="53" customWidth="1"/>
    <col min="1027" max="1027" width="11.140625" style="53" customWidth="1"/>
    <col min="1028" max="1028" width="11.85546875" style="53" customWidth="1"/>
    <col min="1029" max="1029" width="15.42578125" style="53" customWidth="1"/>
    <col min="1030" max="1031" width="9.85546875" style="53" customWidth="1"/>
    <col min="1032" max="1032" width="6.5703125" style="53" customWidth="1"/>
    <col min="1033" max="1035" width="11.42578125" style="53"/>
    <col min="1036" max="1036" width="9.140625" style="53" customWidth="1"/>
    <col min="1037" max="1038" width="6.140625" style="53" customWidth="1"/>
    <col min="1039" max="1039" width="26.42578125" style="53" customWidth="1"/>
    <col min="1040" max="1040" width="17.140625" style="53" customWidth="1"/>
    <col min="1041" max="1041" width="40" style="53" customWidth="1"/>
    <col min="1042" max="1043" width="11.42578125" style="53"/>
    <col min="1044" max="1044" width="37.85546875" style="53" customWidth="1"/>
    <col min="1045" max="1045" width="35.85546875" style="53" customWidth="1"/>
    <col min="1046" max="1046" width="16.85546875" style="53" customWidth="1"/>
    <col min="1047" max="1047" width="17.28515625" style="53" customWidth="1"/>
    <col min="1048" max="1048" width="27.42578125" style="53" customWidth="1"/>
    <col min="1049" max="1281" width="11.42578125" style="53"/>
    <col min="1282" max="1282" width="10.85546875" style="53" customWidth="1"/>
    <col min="1283" max="1283" width="11.140625" style="53" customWidth="1"/>
    <col min="1284" max="1284" width="11.85546875" style="53" customWidth="1"/>
    <col min="1285" max="1285" width="15.42578125" style="53" customWidth="1"/>
    <col min="1286" max="1287" width="9.85546875" style="53" customWidth="1"/>
    <col min="1288" max="1288" width="6.5703125" style="53" customWidth="1"/>
    <col min="1289" max="1291" width="11.42578125" style="53"/>
    <col min="1292" max="1292" width="9.140625" style="53" customWidth="1"/>
    <col min="1293" max="1294" width="6.140625" style="53" customWidth="1"/>
    <col min="1295" max="1295" width="26.42578125" style="53" customWidth="1"/>
    <col min="1296" max="1296" width="17.140625" style="53" customWidth="1"/>
    <col min="1297" max="1297" width="40" style="53" customWidth="1"/>
    <col min="1298" max="1299" width="11.42578125" style="53"/>
    <col min="1300" max="1300" width="37.85546875" style="53" customWidth="1"/>
    <col min="1301" max="1301" width="35.85546875" style="53" customWidth="1"/>
    <col min="1302" max="1302" width="16.85546875" style="53" customWidth="1"/>
    <col min="1303" max="1303" width="17.28515625" style="53" customWidth="1"/>
    <col min="1304" max="1304" width="27.42578125" style="53" customWidth="1"/>
    <col min="1305" max="1537" width="11.42578125" style="53"/>
    <col min="1538" max="1538" width="10.85546875" style="53" customWidth="1"/>
    <col min="1539" max="1539" width="11.140625" style="53" customWidth="1"/>
    <col min="1540" max="1540" width="11.85546875" style="53" customWidth="1"/>
    <col min="1541" max="1541" width="15.42578125" style="53" customWidth="1"/>
    <col min="1542" max="1543" width="9.85546875" style="53" customWidth="1"/>
    <col min="1544" max="1544" width="6.5703125" style="53" customWidth="1"/>
    <col min="1545" max="1547" width="11.42578125" style="53"/>
    <col min="1548" max="1548" width="9.140625" style="53" customWidth="1"/>
    <col min="1549" max="1550" width="6.140625" style="53" customWidth="1"/>
    <col min="1551" max="1551" width="26.42578125" style="53" customWidth="1"/>
    <col min="1552" max="1552" width="17.140625" style="53" customWidth="1"/>
    <col min="1553" max="1553" width="40" style="53" customWidth="1"/>
    <col min="1554" max="1555" width="11.42578125" style="53"/>
    <col min="1556" max="1556" width="37.85546875" style="53" customWidth="1"/>
    <col min="1557" max="1557" width="35.85546875" style="53" customWidth="1"/>
    <col min="1558" max="1558" width="16.85546875" style="53" customWidth="1"/>
    <col min="1559" max="1559" width="17.28515625" style="53" customWidth="1"/>
    <col min="1560" max="1560" width="27.42578125" style="53" customWidth="1"/>
    <col min="1561" max="1793" width="11.42578125" style="53"/>
    <col min="1794" max="1794" width="10.85546875" style="53" customWidth="1"/>
    <col min="1795" max="1795" width="11.140625" style="53" customWidth="1"/>
    <col min="1796" max="1796" width="11.85546875" style="53" customWidth="1"/>
    <col min="1797" max="1797" width="15.42578125" style="53" customWidth="1"/>
    <col min="1798" max="1799" width="9.85546875" style="53" customWidth="1"/>
    <col min="1800" max="1800" width="6.5703125" style="53" customWidth="1"/>
    <col min="1801" max="1803" width="11.42578125" style="53"/>
    <col min="1804" max="1804" width="9.140625" style="53" customWidth="1"/>
    <col min="1805" max="1806" width="6.140625" style="53" customWidth="1"/>
    <col min="1807" max="1807" width="26.42578125" style="53" customWidth="1"/>
    <col min="1808" max="1808" width="17.140625" style="53" customWidth="1"/>
    <col min="1809" max="1809" width="40" style="53" customWidth="1"/>
    <col min="1810" max="1811" width="11.42578125" style="53"/>
    <col min="1812" max="1812" width="37.85546875" style="53" customWidth="1"/>
    <col min="1813" max="1813" width="35.85546875" style="53" customWidth="1"/>
    <col min="1814" max="1814" width="16.85546875" style="53" customWidth="1"/>
    <col min="1815" max="1815" width="17.28515625" style="53" customWidth="1"/>
    <col min="1816" max="1816" width="27.42578125" style="53" customWidth="1"/>
    <col min="1817" max="2049" width="11.42578125" style="53"/>
    <col min="2050" max="2050" width="10.85546875" style="53" customWidth="1"/>
    <col min="2051" max="2051" width="11.140625" style="53" customWidth="1"/>
    <col min="2052" max="2052" width="11.85546875" style="53" customWidth="1"/>
    <col min="2053" max="2053" width="15.42578125" style="53" customWidth="1"/>
    <col min="2054" max="2055" width="9.85546875" style="53" customWidth="1"/>
    <col min="2056" max="2056" width="6.5703125" style="53" customWidth="1"/>
    <col min="2057" max="2059" width="11.42578125" style="53"/>
    <col min="2060" max="2060" width="9.140625" style="53" customWidth="1"/>
    <col min="2061" max="2062" width="6.140625" style="53" customWidth="1"/>
    <col min="2063" max="2063" width="26.42578125" style="53" customWidth="1"/>
    <col min="2064" max="2064" width="17.140625" style="53" customWidth="1"/>
    <col min="2065" max="2065" width="40" style="53" customWidth="1"/>
    <col min="2066" max="2067" width="11.42578125" style="53"/>
    <col min="2068" max="2068" width="37.85546875" style="53" customWidth="1"/>
    <col min="2069" max="2069" width="35.85546875" style="53" customWidth="1"/>
    <col min="2070" max="2070" width="16.85546875" style="53" customWidth="1"/>
    <col min="2071" max="2071" width="17.28515625" style="53" customWidth="1"/>
    <col min="2072" max="2072" width="27.42578125" style="53" customWidth="1"/>
    <col min="2073" max="2305" width="11.42578125" style="53"/>
    <col min="2306" max="2306" width="10.85546875" style="53" customWidth="1"/>
    <col min="2307" max="2307" width="11.140625" style="53" customWidth="1"/>
    <col min="2308" max="2308" width="11.85546875" style="53" customWidth="1"/>
    <col min="2309" max="2309" width="15.42578125" style="53" customWidth="1"/>
    <col min="2310" max="2311" width="9.85546875" style="53" customWidth="1"/>
    <col min="2312" max="2312" width="6.5703125" style="53" customWidth="1"/>
    <col min="2313" max="2315" width="11.42578125" style="53"/>
    <col min="2316" max="2316" width="9.140625" style="53" customWidth="1"/>
    <col min="2317" max="2318" width="6.140625" style="53" customWidth="1"/>
    <col min="2319" max="2319" width="26.42578125" style="53" customWidth="1"/>
    <col min="2320" max="2320" width="17.140625" style="53" customWidth="1"/>
    <col min="2321" max="2321" width="40" style="53" customWidth="1"/>
    <col min="2322" max="2323" width="11.42578125" style="53"/>
    <col min="2324" max="2324" width="37.85546875" style="53" customWidth="1"/>
    <col min="2325" max="2325" width="35.85546875" style="53" customWidth="1"/>
    <col min="2326" max="2326" width="16.85546875" style="53" customWidth="1"/>
    <col min="2327" max="2327" width="17.28515625" style="53" customWidth="1"/>
    <col min="2328" max="2328" width="27.42578125" style="53" customWidth="1"/>
    <col min="2329" max="2561" width="11.42578125" style="53"/>
    <col min="2562" max="2562" width="10.85546875" style="53" customWidth="1"/>
    <col min="2563" max="2563" width="11.140625" style="53" customWidth="1"/>
    <col min="2564" max="2564" width="11.85546875" style="53" customWidth="1"/>
    <col min="2565" max="2565" width="15.42578125" style="53" customWidth="1"/>
    <col min="2566" max="2567" width="9.85546875" style="53" customWidth="1"/>
    <col min="2568" max="2568" width="6.5703125" style="53" customWidth="1"/>
    <col min="2569" max="2571" width="11.42578125" style="53"/>
    <col min="2572" max="2572" width="9.140625" style="53" customWidth="1"/>
    <col min="2573" max="2574" width="6.140625" style="53" customWidth="1"/>
    <col min="2575" max="2575" width="26.42578125" style="53" customWidth="1"/>
    <col min="2576" max="2576" width="17.140625" style="53" customWidth="1"/>
    <col min="2577" max="2577" width="40" style="53" customWidth="1"/>
    <col min="2578" max="2579" width="11.42578125" style="53"/>
    <col min="2580" max="2580" width="37.85546875" style="53" customWidth="1"/>
    <col min="2581" max="2581" width="35.85546875" style="53" customWidth="1"/>
    <col min="2582" max="2582" width="16.85546875" style="53" customWidth="1"/>
    <col min="2583" max="2583" width="17.28515625" style="53" customWidth="1"/>
    <col min="2584" max="2584" width="27.42578125" style="53" customWidth="1"/>
    <col min="2585" max="2817" width="11.42578125" style="53"/>
    <col min="2818" max="2818" width="10.85546875" style="53" customWidth="1"/>
    <col min="2819" max="2819" width="11.140625" style="53" customWidth="1"/>
    <col min="2820" max="2820" width="11.85546875" style="53" customWidth="1"/>
    <col min="2821" max="2821" width="15.42578125" style="53" customWidth="1"/>
    <col min="2822" max="2823" width="9.85546875" style="53" customWidth="1"/>
    <col min="2824" max="2824" width="6.5703125" style="53" customWidth="1"/>
    <col min="2825" max="2827" width="11.42578125" style="53"/>
    <col min="2828" max="2828" width="9.140625" style="53" customWidth="1"/>
    <col min="2829" max="2830" width="6.140625" style="53" customWidth="1"/>
    <col min="2831" max="2831" width="26.42578125" style="53" customWidth="1"/>
    <col min="2832" max="2832" width="17.140625" style="53" customWidth="1"/>
    <col min="2833" max="2833" width="40" style="53" customWidth="1"/>
    <col min="2834" max="2835" width="11.42578125" style="53"/>
    <col min="2836" max="2836" width="37.85546875" style="53" customWidth="1"/>
    <col min="2837" max="2837" width="35.85546875" style="53" customWidth="1"/>
    <col min="2838" max="2838" width="16.85546875" style="53" customWidth="1"/>
    <col min="2839" max="2839" width="17.28515625" style="53" customWidth="1"/>
    <col min="2840" max="2840" width="27.42578125" style="53" customWidth="1"/>
    <col min="2841" max="3073" width="11.42578125" style="53"/>
    <col min="3074" max="3074" width="10.85546875" style="53" customWidth="1"/>
    <col min="3075" max="3075" width="11.140625" style="53" customWidth="1"/>
    <col min="3076" max="3076" width="11.85546875" style="53" customWidth="1"/>
    <col min="3077" max="3077" width="15.42578125" style="53" customWidth="1"/>
    <col min="3078" max="3079" width="9.85546875" style="53" customWidth="1"/>
    <col min="3080" max="3080" width="6.5703125" style="53" customWidth="1"/>
    <col min="3081" max="3083" width="11.42578125" style="53"/>
    <col min="3084" max="3084" width="9.140625" style="53" customWidth="1"/>
    <col min="3085" max="3086" width="6.140625" style="53" customWidth="1"/>
    <col min="3087" max="3087" width="26.42578125" style="53" customWidth="1"/>
    <col min="3088" max="3088" width="17.140625" style="53" customWidth="1"/>
    <col min="3089" max="3089" width="40" style="53" customWidth="1"/>
    <col min="3090" max="3091" width="11.42578125" style="53"/>
    <col min="3092" max="3092" width="37.85546875" style="53" customWidth="1"/>
    <col min="3093" max="3093" width="35.85546875" style="53" customWidth="1"/>
    <col min="3094" max="3094" width="16.85546875" style="53" customWidth="1"/>
    <col min="3095" max="3095" width="17.28515625" style="53" customWidth="1"/>
    <col min="3096" max="3096" width="27.42578125" style="53" customWidth="1"/>
    <col min="3097" max="3329" width="11.42578125" style="53"/>
    <col min="3330" max="3330" width="10.85546875" style="53" customWidth="1"/>
    <col min="3331" max="3331" width="11.140625" style="53" customWidth="1"/>
    <col min="3332" max="3332" width="11.85546875" style="53" customWidth="1"/>
    <col min="3333" max="3333" width="15.42578125" style="53" customWidth="1"/>
    <col min="3334" max="3335" width="9.85546875" style="53" customWidth="1"/>
    <col min="3336" max="3336" width="6.5703125" style="53" customWidth="1"/>
    <col min="3337" max="3339" width="11.42578125" style="53"/>
    <col min="3340" max="3340" width="9.140625" style="53" customWidth="1"/>
    <col min="3341" max="3342" width="6.140625" style="53" customWidth="1"/>
    <col min="3343" max="3343" width="26.42578125" style="53" customWidth="1"/>
    <col min="3344" max="3344" width="17.140625" style="53" customWidth="1"/>
    <col min="3345" max="3345" width="40" style="53" customWidth="1"/>
    <col min="3346" max="3347" width="11.42578125" style="53"/>
    <col min="3348" max="3348" width="37.85546875" style="53" customWidth="1"/>
    <col min="3349" max="3349" width="35.85546875" style="53" customWidth="1"/>
    <col min="3350" max="3350" width="16.85546875" style="53" customWidth="1"/>
    <col min="3351" max="3351" width="17.28515625" style="53" customWidth="1"/>
    <col min="3352" max="3352" width="27.42578125" style="53" customWidth="1"/>
    <col min="3353" max="3585" width="11.42578125" style="53"/>
    <col min="3586" max="3586" width="10.85546875" style="53" customWidth="1"/>
    <col min="3587" max="3587" width="11.140625" style="53" customWidth="1"/>
    <col min="3588" max="3588" width="11.85546875" style="53" customWidth="1"/>
    <col min="3589" max="3589" width="15.42578125" style="53" customWidth="1"/>
    <col min="3590" max="3591" width="9.85546875" style="53" customWidth="1"/>
    <col min="3592" max="3592" width="6.5703125" style="53" customWidth="1"/>
    <col min="3593" max="3595" width="11.42578125" style="53"/>
    <col min="3596" max="3596" width="9.140625" style="53" customWidth="1"/>
    <col min="3597" max="3598" width="6.140625" style="53" customWidth="1"/>
    <col min="3599" max="3599" width="26.42578125" style="53" customWidth="1"/>
    <col min="3600" max="3600" width="17.140625" style="53" customWidth="1"/>
    <col min="3601" max="3601" width="40" style="53" customWidth="1"/>
    <col min="3602" max="3603" width="11.42578125" style="53"/>
    <col min="3604" max="3604" width="37.85546875" style="53" customWidth="1"/>
    <col min="3605" max="3605" width="35.85546875" style="53" customWidth="1"/>
    <col min="3606" max="3606" width="16.85546875" style="53" customWidth="1"/>
    <col min="3607" max="3607" width="17.28515625" style="53" customWidth="1"/>
    <col min="3608" max="3608" width="27.42578125" style="53" customWidth="1"/>
    <col min="3609" max="3841" width="11.42578125" style="53"/>
    <col min="3842" max="3842" width="10.85546875" style="53" customWidth="1"/>
    <col min="3843" max="3843" width="11.140625" style="53" customWidth="1"/>
    <col min="3844" max="3844" width="11.85546875" style="53" customWidth="1"/>
    <col min="3845" max="3845" width="15.42578125" style="53" customWidth="1"/>
    <col min="3846" max="3847" width="9.85546875" style="53" customWidth="1"/>
    <col min="3848" max="3848" width="6.5703125" style="53" customWidth="1"/>
    <col min="3849" max="3851" width="11.42578125" style="53"/>
    <col min="3852" max="3852" width="9.140625" style="53" customWidth="1"/>
    <col min="3853" max="3854" width="6.140625" style="53" customWidth="1"/>
    <col min="3855" max="3855" width="26.42578125" style="53" customWidth="1"/>
    <col min="3856" max="3856" width="17.140625" style="53" customWidth="1"/>
    <col min="3857" max="3857" width="40" style="53" customWidth="1"/>
    <col min="3858" max="3859" width="11.42578125" style="53"/>
    <col min="3860" max="3860" width="37.85546875" style="53" customWidth="1"/>
    <col min="3861" max="3861" width="35.85546875" style="53" customWidth="1"/>
    <col min="3862" max="3862" width="16.85546875" style="53" customWidth="1"/>
    <col min="3863" max="3863" width="17.28515625" style="53" customWidth="1"/>
    <col min="3864" max="3864" width="27.42578125" style="53" customWidth="1"/>
    <col min="3865" max="4097" width="11.42578125" style="53"/>
    <col min="4098" max="4098" width="10.85546875" style="53" customWidth="1"/>
    <col min="4099" max="4099" width="11.140625" style="53" customWidth="1"/>
    <col min="4100" max="4100" width="11.85546875" style="53" customWidth="1"/>
    <col min="4101" max="4101" width="15.42578125" style="53" customWidth="1"/>
    <col min="4102" max="4103" width="9.85546875" style="53" customWidth="1"/>
    <col min="4104" max="4104" width="6.5703125" style="53" customWidth="1"/>
    <col min="4105" max="4107" width="11.42578125" style="53"/>
    <col min="4108" max="4108" width="9.140625" style="53" customWidth="1"/>
    <col min="4109" max="4110" width="6.140625" style="53" customWidth="1"/>
    <col min="4111" max="4111" width="26.42578125" style="53" customWidth="1"/>
    <col min="4112" max="4112" width="17.140625" style="53" customWidth="1"/>
    <col min="4113" max="4113" width="40" style="53" customWidth="1"/>
    <col min="4114" max="4115" width="11.42578125" style="53"/>
    <col min="4116" max="4116" width="37.85546875" style="53" customWidth="1"/>
    <col min="4117" max="4117" width="35.85546875" style="53" customWidth="1"/>
    <col min="4118" max="4118" width="16.85546875" style="53" customWidth="1"/>
    <col min="4119" max="4119" width="17.28515625" style="53" customWidth="1"/>
    <col min="4120" max="4120" width="27.42578125" style="53" customWidth="1"/>
    <col min="4121" max="4353" width="11.42578125" style="53"/>
    <col min="4354" max="4354" width="10.85546875" style="53" customWidth="1"/>
    <col min="4355" max="4355" width="11.140625" style="53" customWidth="1"/>
    <col min="4356" max="4356" width="11.85546875" style="53" customWidth="1"/>
    <col min="4357" max="4357" width="15.42578125" style="53" customWidth="1"/>
    <col min="4358" max="4359" width="9.85546875" style="53" customWidth="1"/>
    <col min="4360" max="4360" width="6.5703125" style="53" customWidth="1"/>
    <col min="4361" max="4363" width="11.42578125" style="53"/>
    <col min="4364" max="4364" width="9.140625" style="53" customWidth="1"/>
    <col min="4365" max="4366" width="6.140625" style="53" customWidth="1"/>
    <col min="4367" max="4367" width="26.42578125" style="53" customWidth="1"/>
    <col min="4368" max="4368" width="17.140625" style="53" customWidth="1"/>
    <col min="4369" max="4369" width="40" style="53" customWidth="1"/>
    <col min="4370" max="4371" width="11.42578125" style="53"/>
    <col min="4372" max="4372" width="37.85546875" style="53" customWidth="1"/>
    <col min="4373" max="4373" width="35.85546875" style="53" customWidth="1"/>
    <col min="4374" max="4374" width="16.85546875" style="53" customWidth="1"/>
    <col min="4375" max="4375" width="17.28515625" style="53" customWidth="1"/>
    <col min="4376" max="4376" width="27.42578125" style="53" customWidth="1"/>
    <col min="4377" max="4609" width="11.42578125" style="53"/>
    <col min="4610" max="4610" width="10.85546875" style="53" customWidth="1"/>
    <col min="4611" max="4611" width="11.140625" style="53" customWidth="1"/>
    <col min="4612" max="4612" width="11.85546875" style="53" customWidth="1"/>
    <col min="4613" max="4613" width="15.42578125" style="53" customWidth="1"/>
    <col min="4614" max="4615" width="9.85546875" style="53" customWidth="1"/>
    <col min="4616" max="4616" width="6.5703125" style="53" customWidth="1"/>
    <col min="4617" max="4619" width="11.42578125" style="53"/>
    <col min="4620" max="4620" width="9.140625" style="53" customWidth="1"/>
    <col min="4621" max="4622" width="6.140625" style="53" customWidth="1"/>
    <col min="4623" max="4623" width="26.42578125" style="53" customWidth="1"/>
    <col min="4624" max="4624" width="17.140625" style="53" customWidth="1"/>
    <col min="4625" max="4625" width="40" style="53" customWidth="1"/>
    <col min="4626" max="4627" width="11.42578125" style="53"/>
    <col min="4628" max="4628" width="37.85546875" style="53" customWidth="1"/>
    <col min="4629" max="4629" width="35.85546875" style="53" customWidth="1"/>
    <col min="4630" max="4630" width="16.85546875" style="53" customWidth="1"/>
    <col min="4631" max="4631" width="17.28515625" style="53" customWidth="1"/>
    <col min="4632" max="4632" width="27.42578125" style="53" customWidth="1"/>
    <col min="4633" max="4865" width="11.42578125" style="53"/>
    <col min="4866" max="4866" width="10.85546875" style="53" customWidth="1"/>
    <col min="4867" max="4867" width="11.140625" style="53" customWidth="1"/>
    <col min="4868" max="4868" width="11.85546875" style="53" customWidth="1"/>
    <col min="4869" max="4869" width="15.42578125" style="53" customWidth="1"/>
    <col min="4870" max="4871" width="9.85546875" style="53" customWidth="1"/>
    <col min="4872" max="4872" width="6.5703125" style="53" customWidth="1"/>
    <col min="4873" max="4875" width="11.42578125" style="53"/>
    <col min="4876" max="4876" width="9.140625" style="53" customWidth="1"/>
    <col min="4877" max="4878" width="6.140625" style="53" customWidth="1"/>
    <col min="4879" max="4879" width="26.42578125" style="53" customWidth="1"/>
    <col min="4880" max="4880" width="17.140625" style="53" customWidth="1"/>
    <col min="4881" max="4881" width="40" style="53" customWidth="1"/>
    <col min="4882" max="4883" width="11.42578125" style="53"/>
    <col min="4884" max="4884" width="37.85546875" style="53" customWidth="1"/>
    <col min="4885" max="4885" width="35.85546875" style="53" customWidth="1"/>
    <col min="4886" max="4886" width="16.85546875" style="53" customWidth="1"/>
    <col min="4887" max="4887" width="17.28515625" style="53" customWidth="1"/>
    <col min="4888" max="4888" width="27.42578125" style="53" customWidth="1"/>
    <col min="4889" max="5121" width="11.42578125" style="53"/>
    <col min="5122" max="5122" width="10.85546875" style="53" customWidth="1"/>
    <col min="5123" max="5123" width="11.140625" style="53" customWidth="1"/>
    <col min="5124" max="5124" width="11.85546875" style="53" customWidth="1"/>
    <col min="5125" max="5125" width="15.42578125" style="53" customWidth="1"/>
    <col min="5126" max="5127" width="9.85546875" style="53" customWidth="1"/>
    <col min="5128" max="5128" width="6.5703125" style="53" customWidth="1"/>
    <col min="5129" max="5131" width="11.42578125" style="53"/>
    <col min="5132" max="5132" width="9.140625" style="53" customWidth="1"/>
    <col min="5133" max="5134" width="6.140625" style="53" customWidth="1"/>
    <col min="5135" max="5135" width="26.42578125" style="53" customWidth="1"/>
    <col min="5136" max="5136" width="17.140625" style="53" customWidth="1"/>
    <col min="5137" max="5137" width="40" style="53" customWidth="1"/>
    <col min="5138" max="5139" width="11.42578125" style="53"/>
    <col min="5140" max="5140" width="37.85546875" style="53" customWidth="1"/>
    <col min="5141" max="5141" width="35.85546875" style="53" customWidth="1"/>
    <col min="5142" max="5142" width="16.85546875" style="53" customWidth="1"/>
    <col min="5143" max="5143" width="17.28515625" style="53" customWidth="1"/>
    <col min="5144" max="5144" width="27.42578125" style="53" customWidth="1"/>
    <col min="5145" max="5377" width="11.42578125" style="53"/>
    <col min="5378" max="5378" width="10.85546875" style="53" customWidth="1"/>
    <col min="5379" max="5379" width="11.140625" style="53" customWidth="1"/>
    <col min="5380" max="5380" width="11.85546875" style="53" customWidth="1"/>
    <col min="5381" max="5381" width="15.42578125" style="53" customWidth="1"/>
    <col min="5382" max="5383" width="9.85546875" style="53" customWidth="1"/>
    <col min="5384" max="5384" width="6.5703125" style="53" customWidth="1"/>
    <col min="5385" max="5387" width="11.42578125" style="53"/>
    <col min="5388" max="5388" width="9.140625" style="53" customWidth="1"/>
    <col min="5389" max="5390" width="6.140625" style="53" customWidth="1"/>
    <col min="5391" max="5391" width="26.42578125" style="53" customWidth="1"/>
    <col min="5392" max="5392" width="17.140625" style="53" customWidth="1"/>
    <col min="5393" max="5393" width="40" style="53" customWidth="1"/>
    <col min="5394" max="5395" width="11.42578125" style="53"/>
    <col min="5396" max="5396" width="37.85546875" style="53" customWidth="1"/>
    <col min="5397" max="5397" width="35.85546875" style="53" customWidth="1"/>
    <col min="5398" max="5398" width="16.85546875" style="53" customWidth="1"/>
    <col min="5399" max="5399" width="17.28515625" style="53" customWidth="1"/>
    <col min="5400" max="5400" width="27.42578125" style="53" customWidth="1"/>
    <col min="5401" max="5633" width="11.42578125" style="53"/>
    <col min="5634" max="5634" width="10.85546875" style="53" customWidth="1"/>
    <col min="5635" max="5635" width="11.140625" style="53" customWidth="1"/>
    <col min="5636" max="5636" width="11.85546875" style="53" customWidth="1"/>
    <col min="5637" max="5637" width="15.42578125" style="53" customWidth="1"/>
    <col min="5638" max="5639" width="9.85546875" style="53" customWidth="1"/>
    <col min="5640" max="5640" width="6.5703125" style="53" customWidth="1"/>
    <col min="5641" max="5643" width="11.42578125" style="53"/>
    <col min="5644" max="5644" width="9.140625" style="53" customWidth="1"/>
    <col min="5645" max="5646" width="6.140625" style="53" customWidth="1"/>
    <col min="5647" max="5647" width="26.42578125" style="53" customWidth="1"/>
    <col min="5648" max="5648" width="17.140625" style="53" customWidth="1"/>
    <col min="5649" max="5649" width="40" style="53" customWidth="1"/>
    <col min="5650" max="5651" width="11.42578125" style="53"/>
    <col min="5652" max="5652" width="37.85546875" style="53" customWidth="1"/>
    <col min="5653" max="5653" width="35.85546875" style="53" customWidth="1"/>
    <col min="5654" max="5654" width="16.85546875" style="53" customWidth="1"/>
    <col min="5655" max="5655" width="17.28515625" style="53" customWidth="1"/>
    <col min="5656" max="5656" width="27.42578125" style="53" customWidth="1"/>
    <col min="5657" max="5889" width="11.42578125" style="53"/>
    <col min="5890" max="5890" width="10.85546875" style="53" customWidth="1"/>
    <col min="5891" max="5891" width="11.140625" style="53" customWidth="1"/>
    <col min="5892" max="5892" width="11.85546875" style="53" customWidth="1"/>
    <col min="5893" max="5893" width="15.42578125" style="53" customWidth="1"/>
    <col min="5894" max="5895" width="9.85546875" style="53" customWidth="1"/>
    <col min="5896" max="5896" width="6.5703125" style="53" customWidth="1"/>
    <col min="5897" max="5899" width="11.42578125" style="53"/>
    <col min="5900" max="5900" width="9.140625" style="53" customWidth="1"/>
    <col min="5901" max="5902" width="6.140625" style="53" customWidth="1"/>
    <col min="5903" max="5903" width="26.42578125" style="53" customWidth="1"/>
    <col min="5904" max="5904" width="17.140625" style="53" customWidth="1"/>
    <col min="5905" max="5905" width="40" style="53" customWidth="1"/>
    <col min="5906" max="5907" width="11.42578125" style="53"/>
    <col min="5908" max="5908" width="37.85546875" style="53" customWidth="1"/>
    <col min="5909" max="5909" width="35.85546875" style="53" customWidth="1"/>
    <col min="5910" max="5910" width="16.85546875" style="53" customWidth="1"/>
    <col min="5911" max="5911" width="17.28515625" style="53" customWidth="1"/>
    <col min="5912" max="5912" width="27.42578125" style="53" customWidth="1"/>
    <col min="5913" max="6145" width="11.42578125" style="53"/>
    <col min="6146" max="6146" width="10.85546875" style="53" customWidth="1"/>
    <col min="6147" max="6147" width="11.140625" style="53" customWidth="1"/>
    <col min="6148" max="6148" width="11.85546875" style="53" customWidth="1"/>
    <col min="6149" max="6149" width="15.42578125" style="53" customWidth="1"/>
    <col min="6150" max="6151" width="9.85546875" style="53" customWidth="1"/>
    <col min="6152" max="6152" width="6.5703125" style="53" customWidth="1"/>
    <col min="6153" max="6155" width="11.42578125" style="53"/>
    <col min="6156" max="6156" width="9.140625" style="53" customWidth="1"/>
    <col min="6157" max="6158" width="6.140625" style="53" customWidth="1"/>
    <col min="6159" max="6159" width="26.42578125" style="53" customWidth="1"/>
    <col min="6160" max="6160" width="17.140625" style="53" customWidth="1"/>
    <col min="6161" max="6161" width="40" style="53" customWidth="1"/>
    <col min="6162" max="6163" width="11.42578125" style="53"/>
    <col min="6164" max="6164" width="37.85546875" style="53" customWidth="1"/>
    <col min="6165" max="6165" width="35.85546875" style="53" customWidth="1"/>
    <col min="6166" max="6166" width="16.85546875" style="53" customWidth="1"/>
    <col min="6167" max="6167" width="17.28515625" style="53" customWidth="1"/>
    <col min="6168" max="6168" width="27.42578125" style="53" customWidth="1"/>
    <col min="6169" max="6401" width="11.42578125" style="53"/>
    <col min="6402" max="6402" width="10.85546875" style="53" customWidth="1"/>
    <col min="6403" max="6403" width="11.140625" style="53" customWidth="1"/>
    <col min="6404" max="6404" width="11.85546875" style="53" customWidth="1"/>
    <col min="6405" max="6405" width="15.42578125" style="53" customWidth="1"/>
    <col min="6406" max="6407" width="9.85546875" style="53" customWidth="1"/>
    <col min="6408" max="6408" width="6.5703125" style="53" customWidth="1"/>
    <col min="6409" max="6411" width="11.42578125" style="53"/>
    <col min="6412" max="6412" width="9.140625" style="53" customWidth="1"/>
    <col min="6413" max="6414" width="6.140625" style="53" customWidth="1"/>
    <col min="6415" max="6415" width="26.42578125" style="53" customWidth="1"/>
    <col min="6416" max="6416" width="17.140625" style="53" customWidth="1"/>
    <col min="6417" max="6417" width="40" style="53" customWidth="1"/>
    <col min="6418" max="6419" width="11.42578125" style="53"/>
    <col min="6420" max="6420" width="37.85546875" style="53" customWidth="1"/>
    <col min="6421" max="6421" width="35.85546875" style="53" customWidth="1"/>
    <col min="6422" max="6422" width="16.85546875" style="53" customWidth="1"/>
    <col min="6423" max="6423" width="17.28515625" style="53" customWidth="1"/>
    <col min="6424" max="6424" width="27.42578125" style="53" customWidth="1"/>
    <col min="6425" max="6657" width="11.42578125" style="53"/>
    <col min="6658" max="6658" width="10.85546875" style="53" customWidth="1"/>
    <col min="6659" max="6659" width="11.140625" style="53" customWidth="1"/>
    <col min="6660" max="6660" width="11.85546875" style="53" customWidth="1"/>
    <col min="6661" max="6661" width="15.42578125" style="53" customWidth="1"/>
    <col min="6662" max="6663" width="9.85546875" style="53" customWidth="1"/>
    <col min="6664" max="6664" width="6.5703125" style="53" customWidth="1"/>
    <col min="6665" max="6667" width="11.42578125" style="53"/>
    <col min="6668" max="6668" width="9.140625" style="53" customWidth="1"/>
    <col min="6669" max="6670" width="6.140625" style="53" customWidth="1"/>
    <col min="6671" max="6671" width="26.42578125" style="53" customWidth="1"/>
    <col min="6672" max="6672" width="17.140625" style="53" customWidth="1"/>
    <col min="6673" max="6673" width="40" style="53" customWidth="1"/>
    <col min="6674" max="6675" width="11.42578125" style="53"/>
    <col min="6676" max="6676" width="37.85546875" style="53" customWidth="1"/>
    <col min="6677" max="6677" width="35.85546875" style="53" customWidth="1"/>
    <col min="6678" max="6678" width="16.85546875" style="53" customWidth="1"/>
    <col min="6679" max="6679" width="17.28515625" style="53" customWidth="1"/>
    <col min="6680" max="6680" width="27.42578125" style="53" customWidth="1"/>
    <col min="6681" max="6913" width="11.42578125" style="53"/>
    <col min="6914" max="6914" width="10.85546875" style="53" customWidth="1"/>
    <col min="6915" max="6915" width="11.140625" style="53" customWidth="1"/>
    <col min="6916" max="6916" width="11.85546875" style="53" customWidth="1"/>
    <col min="6917" max="6917" width="15.42578125" style="53" customWidth="1"/>
    <col min="6918" max="6919" width="9.85546875" style="53" customWidth="1"/>
    <col min="6920" max="6920" width="6.5703125" style="53" customWidth="1"/>
    <col min="6921" max="6923" width="11.42578125" style="53"/>
    <col min="6924" max="6924" width="9.140625" style="53" customWidth="1"/>
    <col min="6925" max="6926" width="6.140625" style="53" customWidth="1"/>
    <col min="6927" max="6927" width="26.42578125" style="53" customWidth="1"/>
    <col min="6928" max="6928" width="17.140625" style="53" customWidth="1"/>
    <col min="6929" max="6929" width="40" style="53" customWidth="1"/>
    <col min="6930" max="6931" width="11.42578125" style="53"/>
    <col min="6932" max="6932" width="37.85546875" style="53" customWidth="1"/>
    <col min="6933" max="6933" width="35.85546875" style="53" customWidth="1"/>
    <col min="6934" max="6934" width="16.85546875" style="53" customWidth="1"/>
    <col min="6935" max="6935" width="17.28515625" style="53" customWidth="1"/>
    <col min="6936" max="6936" width="27.42578125" style="53" customWidth="1"/>
    <col min="6937" max="7169" width="11.42578125" style="53"/>
    <col min="7170" max="7170" width="10.85546875" style="53" customWidth="1"/>
    <col min="7171" max="7171" width="11.140625" style="53" customWidth="1"/>
    <col min="7172" max="7172" width="11.85546875" style="53" customWidth="1"/>
    <col min="7173" max="7173" width="15.42578125" style="53" customWidth="1"/>
    <col min="7174" max="7175" width="9.85546875" style="53" customWidth="1"/>
    <col min="7176" max="7176" width="6.5703125" style="53" customWidth="1"/>
    <col min="7177" max="7179" width="11.42578125" style="53"/>
    <col min="7180" max="7180" width="9.140625" style="53" customWidth="1"/>
    <col min="7181" max="7182" width="6.140625" style="53" customWidth="1"/>
    <col min="7183" max="7183" width="26.42578125" style="53" customWidth="1"/>
    <col min="7184" max="7184" width="17.140625" style="53" customWidth="1"/>
    <col min="7185" max="7185" width="40" style="53" customWidth="1"/>
    <col min="7186" max="7187" width="11.42578125" style="53"/>
    <col min="7188" max="7188" width="37.85546875" style="53" customWidth="1"/>
    <col min="7189" max="7189" width="35.85546875" style="53" customWidth="1"/>
    <col min="7190" max="7190" width="16.85546875" style="53" customWidth="1"/>
    <col min="7191" max="7191" width="17.28515625" style="53" customWidth="1"/>
    <col min="7192" max="7192" width="27.42578125" style="53" customWidth="1"/>
    <col min="7193" max="7425" width="11.42578125" style="53"/>
    <col min="7426" max="7426" width="10.85546875" style="53" customWidth="1"/>
    <col min="7427" max="7427" width="11.140625" style="53" customWidth="1"/>
    <col min="7428" max="7428" width="11.85546875" style="53" customWidth="1"/>
    <col min="7429" max="7429" width="15.42578125" style="53" customWidth="1"/>
    <col min="7430" max="7431" width="9.85546875" style="53" customWidth="1"/>
    <col min="7432" max="7432" width="6.5703125" style="53" customWidth="1"/>
    <col min="7433" max="7435" width="11.42578125" style="53"/>
    <col min="7436" max="7436" width="9.140625" style="53" customWidth="1"/>
    <col min="7437" max="7438" width="6.140625" style="53" customWidth="1"/>
    <col min="7439" max="7439" width="26.42578125" style="53" customWidth="1"/>
    <col min="7440" max="7440" width="17.140625" style="53" customWidth="1"/>
    <col min="7441" max="7441" width="40" style="53" customWidth="1"/>
    <col min="7442" max="7443" width="11.42578125" style="53"/>
    <col min="7444" max="7444" width="37.85546875" style="53" customWidth="1"/>
    <col min="7445" max="7445" width="35.85546875" style="53" customWidth="1"/>
    <col min="7446" max="7446" width="16.85546875" style="53" customWidth="1"/>
    <col min="7447" max="7447" width="17.28515625" style="53" customWidth="1"/>
    <col min="7448" max="7448" width="27.42578125" style="53" customWidth="1"/>
    <col min="7449" max="7681" width="11.42578125" style="53"/>
    <col min="7682" max="7682" width="10.85546875" style="53" customWidth="1"/>
    <col min="7683" max="7683" width="11.140625" style="53" customWidth="1"/>
    <col min="7684" max="7684" width="11.85546875" style="53" customWidth="1"/>
    <col min="7685" max="7685" width="15.42578125" style="53" customWidth="1"/>
    <col min="7686" max="7687" width="9.85546875" style="53" customWidth="1"/>
    <col min="7688" max="7688" width="6.5703125" style="53" customWidth="1"/>
    <col min="7689" max="7691" width="11.42578125" style="53"/>
    <col min="7692" max="7692" width="9.140625" style="53" customWidth="1"/>
    <col min="7693" max="7694" width="6.140625" style="53" customWidth="1"/>
    <col min="7695" max="7695" width="26.42578125" style="53" customWidth="1"/>
    <col min="7696" max="7696" width="17.140625" style="53" customWidth="1"/>
    <col min="7697" max="7697" width="40" style="53" customWidth="1"/>
    <col min="7698" max="7699" width="11.42578125" style="53"/>
    <col min="7700" max="7700" width="37.85546875" style="53" customWidth="1"/>
    <col min="7701" max="7701" width="35.85546875" style="53" customWidth="1"/>
    <col min="7702" max="7702" width="16.85546875" style="53" customWidth="1"/>
    <col min="7703" max="7703" width="17.28515625" style="53" customWidth="1"/>
    <col min="7704" max="7704" width="27.42578125" style="53" customWidth="1"/>
    <col min="7705" max="7937" width="11.42578125" style="53"/>
    <col min="7938" max="7938" width="10.85546875" style="53" customWidth="1"/>
    <col min="7939" max="7939" width="11.140625" style="53" customWidth="1"/>
    <col min="7940" max="7940" width="11.85546875" style="53" customWidth="1"/>
    <col min="7941" max="7941" width="15.42578125" style="53" customWidth="1"/>
    <col min="7942" max="7943" width="9.85546875" style="53" customWidth="1"/>
    <col min="7944" max="7944" width="6.5703125" style="53" customWidth="1"/>
    <col min="7945" max="7947" width="11.42578125" style="53"/>
    <col min="7948" max="7948" width="9.140625" style="53" customWidth="1"/>
    <col min="7949" max="7950" width="6.140625" style="53" customWidth="1"/>
    <col min="7951" max="7951" width="26.42578125" style="53" customWidth="1"/>
    <col min="7952" max="7952" width="17.140625" style="53" customWidth="1"/>
    <col min="7953" max="7953" width="40" style="53" customWidth="1"/>
    <col min="7954" max="7955" width="11.42578125" style="53"/>
    <col min="7956" max="7956" width="37.85546875" style="53" customWidth="1"/>
    <col min="7957" max="7957" width="35.85546875" style="53" customWidth="1"/>
    <col min="7958" max="7958" width="16.85546875" style="53" customWidth="1"/>
    <col min="7959" max="7959" width="17.28515625" style="53" customWidth="1"/>
    <col min="7960" max="7960" width="27.42578125" style="53" customWidth="1"/>
    <col min="7961" max="8193" width="11.42578125" style="53"/>
    <col min="8194" max="8194" width="10.85546875" style="53" customWidth="1"/>
    <col min="8195" max="8195" width="11.140625" style="53" customWidth="1"/>
    <col min="8196" max="8196" width="11.85546875" style="53" customWidth="1"/>
    <col min="8197" max="8197" width="15.42578125" style="53" customWidth="1"/>
    <col min="8198" max="8199" width="9.85546875" style="53" customWidth="1"/>
    <col min="8200" max="8200" width="6.5703125" style="53" customWidth="1"/>
    <col min="8201" max="8203" width="11.42578125" style="53"/>
    <col min="8204" max="8204" width="9.140625" style="53" customWidth="1"/>
    <col min="8205" max="8206" width="6.140625" style="53" customWidth="1"/>
    <col min="8207" max="8207" width="26.42578125" style="53" customWidth="1"/>
    <col min="8208" max="8208" width="17.140625" style="53" customWidth="1"/>
    <col min="8209" max="8209" width="40" style="53" customWidth="1"/>
    <col min="8210" max="8211" width="11.42578125" style="53"/>
    <col min="8212" max="8212" width="37.85546875" style="53" customWidth="1"/>
    <col min="8213" max="8213" width="35.85546875" style="53" customWidth="1"/>
    <col min="8214" max="8214" width="16.85546875" style="53" customWidth="1"/>
    <col min="8215" max="8215" width="17.28515625" style="53" customWidth="1"/>
    <col min="8216" max="8216" width="27.42578125" style="53" customWidth="1"/>
    <col min="8217" max="8449" width="11.42578125" style="53"/>
    <col min="8450" max="8450" width="10.85546875" style="53" customWidth="1"/>
    <col min="8451" max="8451" width="11.140625" style="53" customWidth="1"/>
    <col min="8452" max="8452" width="11.85546875" style="53" customWidth="1"/>
    <col min="8453" max="8453" width="15.42578125" style="53" customWidth="1"/>
    <col min="8454" max="8455" width="9.85546875" style="53" customWidth="1"/>
    <col min="8456" max="8456" width="6.5703125" style="53" customWidth="1"/>
    <col min="8457" max="8459" width="11.42578125" style="53"/>
    <col min="8460" max="8460" width="9.140625" style="53" customWidth="1"/>
    <col min="8461" max="8462" width="6.140625" style="53" customWidth="1"/>
    <col min="8463" max="8463" width="26.42578125" style="53" customWidth="1"/>
    <col min="8464" max="8464" width="17.140625" style="53" customWidth="1"/>
    <col min="8465" max="8465" width="40" style="53" customWidth="1"/>
    <col min="8466" max="8467" width="11.42578125" style="53"/>
    <col min="8468" max="8468" width="37.85546875" style="53" customWidth="1"/>
    <col min="8469" max="8469" width="35.85546875" style="53" customWidth="1"/>
    <col min="8470" max="8470" width="16.85546875" style="53" customWidth="1"/>
    <col min="8471" max="8471" width="17.28515625" style="53" customWidth="1"/>
    <col min="8472" max="8472" width="27.42578125" style="53" customWidth="1"/>
    <col min="8473" max="8705" width="11.42578125" style="53"/>
    <col min="8706" max="8706" width="10.85546875" style="53" customWidth="1"/>
    <col min="8707" max="8707" width="11.140625" style="53" customWidth="1"/>
    <col min="8708" max="8708" width="11.85546875" style="53" customWidth="1"/>
    <col min="8709" max="8709" width="15.42578125" style="53" customWidth="1"/>
    <col min="8710" max="8711" width="9.85546875" style="53" customWidth="1"/>
    <col min="8712" max="8712" width="6.5703125" style="53" customWidth="1"/>
    <col min="8713" max="8715" width="11.42578125" style="53"/>
    <col min="8716" max="8716" width="9.140625" style="53" customWidth="1"/>
    <col min="8717" max="8718" width="6.140625" style="53" customWidth="1"/>
    <col min="8719" max="8719" width="26.42578125" style="53" customWidth="1"/>
    <col min="8720" max="8720" width="17.140625" style="53" customWidth="1"/>
    <col min="8721" max="8721" width="40" style="53" customWidth="1"/>
    <col min="8722" max="8723" width="11.42578125" style="53"/>
    <col min="8724" max="8724" width="37.85546875" style="53" customWidth="1"/>
    <col min="8725" max="8725" width="35.85546875" style="53" customWidth="1"/>
    <col min="8726" max="8726" width="16.85546875" style="53" customWidth="1"/>
    <col min="8727" max="8727" width="17.28515625" style="53" customWidth="1"/>
    <col min="8728" max="8728" width="27.42578125" style="53" customWidth="1"/>
    <col min="8729" max="8961" width="11.42578125" style="53"/>
    <col min="8962" max="8962" width="10.85546875" style="53" customWidth="1"/>
    <col min="8963" max="8963" width="11.140625" style="53" customWidth="1"/>
    <col min="8964" max="8964" width="11.85546875" style="53" customWidth="1"/>
    <col min="8965" max="8965" width="15.42578125" style="53" customWidth="1"/>
    <col min="8966" max="8967" width="9.85546875" style="53" customWidth="1"/>
    <col min="8968" max="8968" width="6.5703125" style="53" customWidth="1"/>
    <col min="8969" max="8971" width="11.42578125" style="53"/>
    <col min="8972" max="8972" width="9.140625" style="53" customWidth="1"/>
    <col min="8973" max="8974" width="6.140625" style="53" customWidth="1"/>
    <col min="8975" max="8975" width="26.42578125" style="53" customWidth="1"/>
    <col min="8976" max="8976" width="17.140625" style="53" customWidth="1"/>
    <col min="8977" max="8977" width="40" style="53" customWidth="1"/>
    <col min="8978" max="8979" width="11.42578125" style="53"/>
    <col min="8980" max="8980" width="37.85546875" style="53" customWidth="1"/>
    <col min="8981" max="8981" width="35.85546875" style="53" customWidth="1"/>
    <col min="8982" max="8982" width="16.85546875" style="53" customWidth="1"/>
    <col min="8983" max="8983" width="17.28515625" style="53" customWidth="1"/>
    <col min="8984" max="8984" width="27.42578125" style="53" customWidth="1"/>
    <col min="8985" max="9217" width="11.42578125" style="53"/>
    <col min="9218" max="9218" width="10.85546875" style="53" customWidth="1"/>
    <col min="9219" max="9219" width="11.140625" style="53" customWidth="1"/>
    <col min="9220" max="9220" width="11.85546875" style="53" customWidth="1"/>
    <col min="9221" max="9221" width="15.42578125" style="53" customWidth="1"/>
    <col min="9222" max="9223" width="9.85546875" style="53" customWidth="1"/>
    <col min="9224" max="9224" width="6.5703125" style="53" customWidth="1"/>
    <col min="9225" max="9227" width="11.42578125" style="53"/>
    <col min="9228" max="9228" width="9.140625" style="53" customWidth="1"/>
    <col min="9229" max="9230" width="6.140625" style="53" customWidth="1"/>
    <col min="9231" max="9231" width="26.42578125" style="53" customWidth="1"/>
    <col min="9232" max="9232" width="17.140625" style="53" customWidth="1"/>
    <col min="9233" max="9233" width="40" style="53" customWidth="1"/>
    <col min="9234" max="9235" width="11.42578125" style="53"/>
    <col min="9236" max="9236" width="37.85546875" style="53" customWidth="1"/>
    <col min="9237" max="9237" width="35.85546875" style="53" customWidth="1"/>
    <col min="9238" max="9238" width="16.85546875" style="53" customWidth="1"/>
    <col min="9239" max="9239" width="17.28515625" style="53" customWidth="1"/>
    <col min="9240" max="9240" width="27.42578125" style="53" customWidth="1"/>
    <col min="9241" max="9473" width="11.42578125" style="53"/>
    <col min="9474" max="9474" width="10.85546875" style="53" customWidth="1"/>
    <col min="9475" max="9475" width="11.140625" style="53" customWidth="1"/>
    <col min="9476" max="9476" width="11.85546875" style="53" customWidth="1"/>
    <col min="9477" max="9477" width="15.42578125" style="53" customWidth="1"/>
    <col min="9478" max="9479" width="9.85546875" style="53" customWidth="1"/>
    <col min="9480" max="9480" width="6.5703125" style="53" customWidth="1"/>
    <col min="9481" max="9483" width="11.42578125" style="53"/>
    <col min="9484" max="9484" width="9.140625" style="53" customWidth="1"/>
    <col min="9485" max="9486" width="6.140625" style="53" customWidth="1"/>
    <col min="9487" max="9487" width="26.42578125" style="53" customWidth="1"/>
    <col min="9488" max="9488" width="17.140625" style="53" customWidth="1"/>
    <col min="9489" max="9489" width="40" style="53" customWidth="1"/>
    <col min="9490" max="9491" width="11.42578125" style="53"/>
    <col min="9492" max="9492" width="37.85546875" style="53" customWidth="1"/>
    <col min="9493" max="9493" width="35.85546875" style="53" customWidth="1"/>
    <col min="9494" max="9494" width="16.85546875" style="53" customWidth="1"/>
    <col min="9495" max="9495" width="17.28515625" style="53" customWidth="1"/>
    <col min="9496" max="9496" width="27.42578125" style="53" customWidth="1"/>
    <col min="9497" max="9729" width="11.42578125" style="53"/>
    <col min="9730" max="9730" width="10.85546875" style="53" customWidth="1"/>
    <col min="9731" max="9731" width="11.140625" style="53" customWidth="1"/>
    <col min="9732" max="9732" width="11.85546875" style="53" customWidth="1"/>
    <col min="9733" max="9733" width="15.42578125" style="53" customWidth="1"/>
    <col min="9734" max="9735" width="9.85546875" style="53" customWidth="1"/>
    <col min="9736" max="9736" width="6.5703125" style="53" customWidth="1"/>
    <col min="9737" max="9739" width="11.42578125" style="53"/>
    <col min="9740" max="9740" width="9.140625" style="53" customWidth="1"/>
    <col min="9741" max="9742" width="6.140625" style="53" customWidth="1"/>
    <col min="9743" max="9743" width="26.42578125" style="53" customWidth="1"/>
    <col min="9744" max="9744" width="17.140625" style="53" customWidth="1"/>
    <col min="9745" max="9745" width="40" style="53" customWidth="1"/>
    <col min="9746" max="9747" width="11.42578125" style="53"/>
    <col min="9748" max="9748" width="37.85546875" style="53" customWidth="1"/>
    <col min="9749" max="9749" width="35.85546875" style="53" customWidth="1"/>
    <col min="9750" max="9750" width="16.85546875" style="53" customWidth="1"/>
    <col min="9751" max="9751" width="17.28515625" style="53" customWidth="1"/>
    <col min="9752" max="9752" width="27.42578125" style="53" customWidth="1"/>
    <col min="9753" max="9985" width="11.42578125" style="53"/>
    <col min="9986" max="9986" width="10.85546875" style="53" customWidth="1"/>
    <col min="9987" max="9987" width="11.140625" style="53" customWidth="1"/>
    <col min="9988" max="9988" width="11.85546875" style="53" customWidth="1"/>
    <col min="9989" max="9989" width="15.42578125" style="53" customWidth="1"/>
    <col min="9990" max="9991" width="9.85546875" style="53" customWidth="1"/>
    <col min="9992" max="9992" width="6.5703125" style="53" customWidth="1"/>
    <col min="9993" max="9995" width="11.42578125" style="53"/>
    <col min="9996" max="9996" width="9.140625" style="53" customWidth="1"/>
    <col min="9997" max="9998" width="6.140625" style="53" customWidth="1"/>
    <col min="9999" max="9999" width="26.42578125" style="53" customWidth="1"/>
    <col min="10000" max="10000" width="17.140625" style="53" customWidth="1"/>
    <col min="10001" max="10001" width="40" style="53" customWidth="1"/>
    <col min="10002" max="10003" width="11.42578125" style="53"/>
    <col min="10004" max="10004" width="37.85546875" style="53" customWidth="1"/>
    <col min="10005" max="10005" width="35.85546875" style="53" customWidth="1"/>
    <col min="10006" max="10006" width="16.85546875" style="53" customWidth="1"/>
    <col min="10007" max="10007" width="17.28515625" style="53" customWidth="1"/>
    <col min="10008" max="10008" width="27.42578125" style="53" customWidth="1"/>
    <col min="10009" max="10241" width="11.42578125" style="53"/>
    <col min="10242" max="10242" width="10.85546875" style="53" customWidth="1"/>
    <col min="10243" max="10243" width="11.140625" style="53" customWidth="1"/>
    <col min="10244" max="10244" width="11.85546875" style="53" customWidth="1"/>
    <col min="10245" max="10245" width="15.42578125" style="53" customWidth="1"/>
    <col min="10246" max="10247" width="9.85546875" style="53" customWidth="1"/>
    <col min="10248" max="10248" width="6.5703125" style="53" customWidth="1"/>
    <col min="10249" max="10251" width="11.42578125" style="53"/>
    <col min="10252" max="10252" width="9.140625" style="53" customWidth="1"/>
    <col min="10253" max="10254" width="6.140625" style="53" customWidth="1"/>
    <col min="10255" max="10255" width="26.42578125" style="53" customWidth="1"/>
    <col min="10256" max="10256" width="17.140625" style="53" customWidth="1"/>
    <col min="10257" max="10257" width="40" style="53" customWidth="1"/>
    <col min="10258" max="10259" width="11.42578125" style="53"/>
    <col min="10260" max="10260" width="37.85546875" style="53" customWidth="1"/>
    <col min="10261" max="10261" width="35.85546875" style="53" customWidth="1"/>
    <col min="10262" max="10262" width="16.85546875" style="53" customWidth="1"/>
    <col min="10263" max="10263" width="17.28515625" style="53" customWidth="1"/>
    <col min="10264" max="10264" width="27.42578125" style="53" customWidth="1"/>
    <col min="10265" max="10497" width="11.42578125" style="53"/>
    <col min="10498" max="10498" width="10.85546875" style="53" customWidth="1"/>
    <col min="10499" max="10499" width="11.140625" style="53" customWidth="1"/>
    <col min="10500" max="10500" width="11.85546875" style="53" customWidth="1"/>
    <col min="10501" max="10501" width="15.42578125" style="53" customWidth="1"/>
    <col min="10502" max="10503" width="9.85546875" style="53" customWidth="1"/>
    <col min="10504" max="10504" width="6.5703125" style="53" customWidth="1"/>
    <col min="10505" max="10507" width="11.42578125" style="53"/>
    <col min="10508" max="10508" width="9.140625" style="53" customWidth="1"/>
    <col min="10509" max="10510" width="6.140625" style="53" customWidth="1"/>
    <col min="10511" max="10511" width="26.42578125" style="53" customWidth="1"/>
    <col min="10512" max="10512" width="17.140625" style="53" customWidth="1"/>
    <col min="10513" max="10513" width="40" style="53" customWidth="1"/>
    <col min="10514" max="10515" width="11.42578125" style="53"/>
    <col min="10516" max="10516" width="37.85546875" style="53" customWidth="1"/>
    <col min="10517" max="10517" width="35.85546875" style="53" customWidth="1"/>
    <col min="10518" max="10518" width="16.85546875" style="53" customWidth="1"/>
    <col min="10519" max="10519" width="17.28515625" style="53" customWidth="1"/>
    <col min="10520" max="10520" width="27.42578125" style="53" customWidth="1"/>
    <col min="10521" max="10753" width="11.42578125" style="53"/>
    <col min="10754" max="10754" width="10.85546875" style="53" customWidth="1"/>
    <col min="10755" max="10755" width="11.140625" style="53" customWidth="1"/>
    <col min="10756" max="10756" width="11.85546875" style="53" customWidth="1"/>
    <col min="10757" max="10757" width="15.42578125" style="53" customWidth="1"/>
    <col min="10758" max="10759" width="9.85546875" style="53" customWidth="1"/>
    <col min="10760" max="10760" width="6.5703125" style="53" customWidth="1"/>
    <col min="10761" max="10763" width="11.42578125" style="53"/>
    <col min="10764" max="10764" width="9.140625" style="53" customWidth="1"/>
    <col min="10765" max="10766" width="6.140625" style="53" customWidth="1"/>
    <col min="10767" max="10767" width="26.42578125" style="53" customWidth="1"/>
    <col min="10768" max="10768" width="17.140625" style="53" customWidth="1"/>
    <col min="10769" max="10769" width="40" style="53" customWidth="1"/>
    <col min="10770" max="10771" width="11.42578125" style="53"/>
    <col min="10772" max="10772" width="37.85546875" style="53" customWidth="1"/>
    <col min="10773" max="10773" width="35.85546875" style="53" customWidth="1"/>
    <col min="10774" max="10774" width="16.85546875" style="53" customWidth="1"/>
    <col min="10775" max="10775" width="17.28515625" style="53" customWidth="1"/>
    <col min="10776" max="10776" width="27.42578125" style="53" customWidth="1"/>
    <col min="10777" max="11009" width="11.42578125" style="53"/>
    <col min="11010" max="11010" width="10.85546875" style="53" customWidth="1"/>
    <col min="11011" max="11011" width="11.140625" style="53" customWidth="1"/>
    <col min="11012" max="11012" width="11.85546875" style="53" customWidth="1"/>
    <col min="11013" max="11013" width="15.42578125" style="53" customWidth="1"/>
    <col min="11014" max="11015" width="9.85546875" style="53" customWidth="1"/>
    <col min="11016" max="11016" width="6.5703125" style="53" customWidth="1"/>
    <col min="11017" max="11019" width="11.42578125" style="53"/>
    <col min="11020" max="11020" width="9.140625" style="53" customWidth="1"/>
    <col min="11021" max="11022" width="6.140625" style="53" customWidth="1"/>
    <col min="11023" max="11023" width="26.42578125" style="53" customWidth="1"/>
    <col min="11024" max="11024" width="17.140625" style="53" customWidth="1"/>
    <col min="11025" max="11025" width="40" style="53" customWidth="1"/>
    <col min="11026" max="11027" width="11.42578125" style="53"/>
    <col min="11028" max="11028" width="37.85546875" style="53" customWidth="1"/>
    <col min="11029" max="11029" width="35.85546875" style="53" customWidth="1"/>
    <col min="11030" max="11030" width="16.85546875" style="53" customWidth="1"/>
    <col min="11031" max="11031" width="17.28515625" style="53" customWidth="1"/>
    <col min="11032" max="11032" width="27.42578125" style="53" customWidth="1"/>
    <col min="11033" max="11265" width="11.42578125" style="53"/>
    <col min="11266" max="11266" width="10.85546875" style="53" customWidth="1"/>
    <col min="11267" max="11267" width="11.140625" style="53" customWidth="1"/>
    <col min="11268" max="11268" width="11.85546875" style="53" customWidth="1"/>
    <col min="11269" max="11269" width="15.42578125" style="53" customWidth="1"/>
    <col min="11270" max="11271" width="9.85546875" style="53" customWidth="1"/>
    <col min="11272" max="11272" width="6.5703125" style="53" customWidth="1"/>
    <col min="11273" max="11275" width="11.42578125" style="53"/>
    <col min="11276" max="11276" width="9.140625" style="53" customWidth="1"/>
    <col min="11277" max="11278" width="6.140625" style="53" customWidth="1"/>
    <col min="11279" max="11279" width="26.42578125" style="53" customWidth="1"/>
    <col min="11280" max="11280" width="17.140625" style="53" customWidth="1"/>
    <col min="11281" max="11281" width="40" style="53" customWidth="1"/>
    <col min="11282" max="11283" width="11.42578125" style="53"/>
    <col min="11284" max="11284" width="37.85546875" style="53" customWidth="1"/>
    <col min="11285" max="11285" width="35.85546875" style="53" customWidth="1"/>
    <col min="11286" max="11286" width="16.85546875" style="53" customWidth="1"/>
    <col min="11287" max="11287" width="17.28515625" style="53" customWidth="1"/>
    <col min="11288" max="11288" width="27.42578125" style="53" customWidth="1"/>
    <col min="11289" max="11521" width="11.42578125" style="53"/>
    <col min="11522" max="11522" width="10.85546875" style="53" customWidth="1"/>
    <col min="11523" max="11523" width="11.140625" style="53" customWidth="1"/>
    <col min="11524" max="11524" width="11.85546875" style="53" customWidth="1"/>
    <col min="11525" max="11525" width="15.42578125" style="53" customWidth="1"/>
    <col min="11526" max="11527" width="9.85546875" style="53" customWidth="1"/>
    <col min="11528" max="11528" width="6.5703125" style="53" customWidth="1"/>
    <col min="11529" max="11531" width="11.42578125" style="53"/>
    <col min="11532" max="11532" width="9.140625" style="53" customWidth="1"/>
    <col min="11533" max="11534" width="6.140625" style="53" customWidth="1"/>
    <col min="11535" max="11535" width="26.42578125" style="53" customWidth="1"/>
    <col min="11536" max="11536" width="17.140625" style="53" customWidth="1"/>
    <col min="11537" max="11537" width="40" style="53" customWidth="1"/>
    <col min="11538" max="11539" width="11.42578125" style="53"/>
    <col min="11540" max="11540" width="37.85546875" style="53" customWidth="1"/>
    <col min="11541" max="11541" width="35.85546875" style="53" customWidth="1"/>
    <col min="11542" max="11542" width="16.85546875" style="53" customWidth="1"/>
    <col min="11543" max="11543" width="17.28515625" style="53" customWidth="1"/>
    <col min="11544" max="11544" width="27.42578125" style="53" customWidth="1"/>
    <col min="11545" max="11777" width="11.42578125" style="53"/>
    <col min="11778" max="11778" width="10.85546875" style="53" customWidth="1"/>
    <col min="11779" max="11779" width="11.140625" style="53" customWidth="1"/>
    <col min="11780" max="11780" width="11.85546875" style="53" customWidth="1"/>
    <col min="11781" max="11781" width="15.42578125" style="53" customWidth="1"/>
    <col min="11782" max="11783" width="9.85546875" style="53" customWidth="1"/>
    <col min="11784" max="11784" width="6.5703125" style="53" customWidth="1"/>
    <col min="11785" max="11787" width="11.42578125" style="53"/>
    <col min="11788" max="11788" width="9.140625" style="53" customWidth="1"/>
    <col min="11789" max="11790" width="6.140625" style="53" customWidth="1"/>
    <col min="11791" max="11791" width="26.42578125" style="53" customWidth="1"/>
    <col min="11792" max="11792" width="17.140625" style="53" customWidth="1"/>
    <col min="11793" max="11793" width="40" style="53" customWidth="1"/>
    <col min="11794" max="11795" width="11.42578125" style="53"/>
    <col min="11796" max="11796" width="37.85546875" style="53" customWidth="1"/>
    <col min="11797" max="11797" width="35.85546875" style="53" customWidth="1"/>
    <col min="11798" max="11798" width="16.85546875" style="53" customWidth="1"/>
    <col min="11799" max="11799" width="17.28515625" style="53" customWidth="1"/>
    <col min="11800" max="11800" width="27.42578125" style="53" customWidth="1"/>
    <col min="11801" max="12033" width="11.42578125" style="53"/>
    <col min="12034" max="12034" width="10.85546875" style="53" customWidth="1"/>
    <col min="12035" max="12035" width="11.140625" style="53" customWidth="1"/>
    <col min="12036" max="12036" width="11.85546875" style="53" customWidth="1"/>
    <col min="12037" max="12037" width="15.42578125" style="53" customWidth="1"/>
    <col min="12038" max="12039" width="9.85546875" style="53" customWidth="1"/>
    <col min="12040" max="12040" width="6.5703125" style="53" customWidth="1"/>
    <col min="12041" max="12043" width="11.42578125" style="53"/>
    <col min="12044" max="12044" width="9.140625" style="53" customWidth="1"/>
    <col min="12045" max="12046" width="6.140625" style="53" customWidth="1"/>
    <col min="12047" max="12047" width="26.42578125" style="53" customWidth="1"/>
    <col min="12048" max="12048" width="17.140625" style="53" customWidth="1"/>
    <col min="12049" max="12049" width="40" style="53" customWidth="1"/>
    <col min="12050" max="12051" width="11.42578125" style="53"/>
    <col min="12052" max="12052" width="37.85546875" style="53" customWidth="1"/>
    <col min="12053" max="12053" width="35.85546875" style="53" customWidth="1"/>
    <col min="12054" max="12054" width="16.85546875" style="53" customWidth="1"/>
    <col min="12055" max="12055" width="17.28515625" style="53" customWidth="1"/>
    <col min="12056" max="12056" width="27.42578125" style="53" customWidth="1"/>
    <col min="12057" max="12289" width="11.42578125" style="53"/>
    <col min="12290" max="12290" width="10.85546875" style="53" customWidth="1"/>
    <col min="12291" max="12291" width="11.140625" style="53" customWidth="1"/>
    <col min="12292" max="12292" width="11.85546875" style="53" customWidth="1"/>
    <col min="12293" max="12293" width="15.42578125" style="53" customWidth="1"/>
    <col min="12294" max="12295" width="9.85546875" style="53" customWidth="1"/>
    <col min="12296" max="12296" width="6.5703125" style="53" customWidth="1"/>
    <col min="12297" max="12299" width="11.42578125" style="53"/>
    <col min="12300" max="12300" width="9.140625" style="53" customWidth="1"/>
    <col min="12301" max="12302" width="6.140625" style="53" customWidth="1"/>
    <col min="12303" max="12303" width="26.42578125" style="53" customWidth="1"/>
    <col min="12304" max="12304" width="17.140625" style="53" customWidth="1"/>
    <col min="12305" max="12305" width="40" style="53" customWidth="1"/>
    <col min="12306" max="12307" width="11.42578125" style="53"/>
    <col min="12308" max="12308" width="37.85546875" style="53" customWidth="1"/>
    <col min="12309" max="12309" width="35.85546875" style="53" customWidth="1"/>
    <col min="12310" max="12310" width="16.85546875" style="53" customWidth="1"/>
    <col min="12311" max="12311" width="17.28515625" style="53" customWidth="1"/>
    <col min="12312" max="12312" width="27.42578125" style="53" customWidth="1"/>
    <col min="12313" max="12545" width="11.42578125" style="53"/>
    <col min="12546" max="12546" width="10.85546875" style="53" customWidth="1"/>
    <col min="12547" max="12547" width="11.140625" style="53" customWidth="1"/>
    <col min="12548" max="12548" width="11.85546875" style="53" customWidth="1"/>
    <col min="12549" max="12549" width="15.42578125" style="53" customWidth="1"/>
    <col min="12550" max="12551" width="9.85546875" style="53" customWidth="1"/>
    <col min="12552" max="12552" width="6.5703125" style="53" customWidth="1"/>
    <col min="12553" max="12555" width="11.42578125" style="53"/>
    <col min="12556" max="12556" width="9.140625" style="53" customWidth="1"/>
    <col min="12557" max="12558" width="6.140625" style="53" customWidth="1"/>
    <col min="12559" max="12559" width="26.42578125" style="53" customWidth="1"/>
    <col min="12560" max="12560" width="17.140625" style="53" customWidth="1"/>
    <col min="12561" max="12561" width="40" style="53" customWidth="1"/>
    <col min="12562" max="12563" width="11.42578125" style="53"/>
    <col min="12564" max="12564" width="37.85546875" style="53" customWidth="1"/>
    <col min="12565" max="12565" width="35.85546875" style="53" customWidth="1"/>
    <col min="12566" max="12566" width="16.85546875" style="53" customWidth="1"/>
    <col min="12567" max="12567" width="17.28515625" style="53" customWidth="1"/>
    <col min="12568" max="12568" width="27.42578125" style="53" customWidth="1"/>
    <col min="12569" max="12801" width="11.42578125" style="53"/>
    <col min="12802" max="12802" width="10.85546875" style="53" customWidth="1"/>
    <col min="12803" max="12803" width="11.140625" style="53" customWidth="1"/>
    <col min="12804" max="12804" width="11.85546875" style="53" customWidth="1"/>
    <col min="12805" max="12805" width="15.42578125" style="53" customWidth="1"/>
    <col min="12806" max="12807" width="9.85546875" style="53" customWidth="1"/>
    <col min="12808" max="12808" width="6.5703125" style="53" customWidth="1"/>
    <col min="12809" max="12811" width="11.42578125" style="53"/>
    <col min="12812" max="12812" width="9.140625" style="53" customWidth="1"/>
    <col min="12813" max="12814" width="6.140625" style="53" customWidth="1"/>
    <col min="12815" max="12815" width="26.42578125" style="53" customWidth="1"/>
    <col min="12816" max="12816" width="17.140625" style="53" customWidth="1"/>
    <col min="12817" max="12817" width="40" style="53" customWidth="1"/>
    <col min="12818" max="12819" width="11.42578125" style="53"/>
    <col min="12820" max="12820" width="37.85546875" style="53" customWidth="1"/>
    <col min="12821" max="12821" width="35.85546875" style="53" customWidth="1"/>
    <col min="12822" max="12822" width="16.85546875" style="53" customWidth="1"/>
    <col min="12823" max="12823" width="17.28515625" style="53" customWidth="1"/>
    <col min="12824" max="12824" width="27.42578125" style="53" customWidth="1"/>
    <col min="12825" max="13057" width="11.42578125" style="53"/>
    <col min="13058" max="13058" width="10.85546875" style="53" customWidth="1"/>
    <col min="13059" max="13059" width="11.140625" style="53" customWidth="1"/>
    <col min="13060" max="13060" width="11.85546875" style="53" customWidth="1"/>
    <col min="13061" max="13061" width="15.42578125" style="53" customWidth="1"/>
    <col min="13062" max="13063" width="9.85546875" style="53" customWidth="1"/>
    <col min="13064" max="13064" width="6.5703125" style="53" customWidth="1"/>
    <col min="13065" max="13067" width="11.42578125" style="53"/>
    <col min="13068" max="13068" width="9.140625" style="53" customWidth="1"/>
    <col min="13069" max="13070" width="6.140625" style="53" customWidth="1"/>
    <col min="13071" max="13071" width="26.42578125" style="53" customWidth="1"/>
    <col min="13072" max="13072" width="17.140625" style="53" customWidth="1"/>
    <col min="13073" max="13073" width="40" style="53" customWidth="1"/>
    <col min="13074" max="13075" width="11.42578125" style="53"/>
    <col min="13076" max="13076" width="37.85546875" style="53" customWidth="1"/>
    <col min="13077" max="13077" width="35.85546875" style="53" customWidth="1"/>
    <col min="13078" max="13078" width="16.85546875" style="53" customWidth="1"/>
    <col min="13079" max="13079" width="17.28515625" style="53" customWidth="1"/>
    <col min="13080" max="13080" width="27.42578125" style="53" customWidth="1"/>
    <col min="13081" max="13313" width="11.42578125" style="53"/>
    <col min="13314" max="13314" width="10.85546875" style="53" customWidth="1"/>
    <col min="13315" max="13315" width="11.140625" style="53" customWidth="1"/>
    <col min="13316" max="13316" width="11.85546875" style="53" customWidth="1"/>
    <col min="13317" max="13317" width="15.42578125" style="53" customWidth="1"/>
    <col min="13318" max="13319" width="9.85546875" style="53" customWidth="1"/>
    <col min="13320" max="13320" width="6.5703125" style="53" customWidth="1"/>
    <col min="13321" max="13323" width="11.42578125" style="53"/>
    <col min="13324" max="13324" width="9.140625" style="53" customWidth="1"/>
    <col min="13325" max="13326" width="6.140625" style="53" customWidth="1"/>
    <col min="13327" max="13327" width="26.42578125" style="53" customWidth="1"/>
    <col min="13328" max="13328" width="17.140625" style="53" customWidth="1"/>
    <col min="13329" max="13329" width="40" style="53" customWidth="1"/>
    <col min="13330" max="13331" width="11.42578125" style="53"/>
    <col min="13332" max="13332" width="37.85546875" style="53" customWidth="1"/>
    <col min="13333" max="13333" width="35.85546875" style="53" customWidth="1"/>
    <col min="13334" max="13334" width="16.85546875" style="53" customWidth="1"/>
    <col min="13335" max="13335" width="17.28515625" style="53" customWidth="1"/>
    <col min="13336" max="13336" width="27.42578125" style="53" customWidth="1"/>
    <col min="13337" max="13569" width="11.42578125" style="53"/>
    <col min="13570" max="13570" width="10.85546875" style="53" customWidth="1"/>
    <col min="13571" max="13571" width="11.140625" style="53" customWidth="1"/>
    <col min="13572" max="13572" width="11.85546875" style="53" customWidth="1"/>
    <col min="13573" max="13573" width="15.42578125" style="53" customWidth="1"/>
    <col min="13574" max="13575" width="9.85546875" style="53" customWidth="1"/>
    <col min="13576" max="13576" width="6.5703125" style="53" customWidth="1"/>
    <col min="13577" max="13579" width="11.42578125" style="53"/>
    <col min="13580" max="13580" width="9.140625" style="53" customWidth="1"/>
    <col min="13581" max="13582" width="6.140625" style="53" customWidth="1"/>
    <col min="13583" max="13583" width="26.42578125" style="53" customWidth="1"/>
    <col min="13584" max="13584" width="17.140625" style="53" customWidth="1"/>
    <col min="13585" max="13585" width="40" style="53" customWidth="1"/>
    <col min="13586" max="13587" width="11.42578125" style="53"/>
    <col min="13588" max="13588" width="37.85546875" style="53" customWidth="1"/>
    <col min="13589" max="13589" width="35.85546875" style="53" customWidth="1"/>
    <col min="13590" max="13590" width="16.85546875" style="53" customWidth="1"/>
    <col min="13591" max="13591" width="17.28515625" style="53" customWidth="1"/>
    <col min="13592" max="13592" width="27.42578125" style="53" customWidth="1"/>
    <col min="13593" max="13825" width="11.42578125" style="53"/>
    <col min="13826" max="13826" width="10.85546875" style="53" customWidth="1"/>
    <col min="13827" max="13827" width="11.140625" style="53" customWidth="1"/>
    <col min="13828" max="13828" width="11.85546875" style="53" customWidth="1"/>
    <col min="13829" max="13829" width="15.42578125" style="53" customWidth="1"/>
    <col min="13830" max="13831" width="9.85546875" style="53" customWidth="1"/>
    <col min="13832" max="13832" width="6.5703125" style="53" customWidth="1"/>
    <col min="13833" max="13835" width="11.42578125" style="53"/>
    <col min="13836" max="13836" width="9.140625" style="53" customWidth="1"/>
    <col min="13837" max="13838" width="6.140625" style="53" customWidth="1"/>
    <col min="13839" max="13839" width="26.42578125" style="53" customWidth="1"/>
    <col min="13840" max="13840" width="17.140625" style="53" customWidth="1"/>
    <col min="13841" max="13841" width="40" style="53" customWidth="1"/>
    <col min="13842" max="13843" width="11.42578125" style="53"/>
    <col min="13844" max="13844" width="37.85546875" style="53" customWidth="1"/>
    <col min="13845" max="13845" width="35.85546875" style="53" customWidth="1"/>
    <col min="13846" max="13846" width="16.85546875" style="53" customWidth="1"/>
    <col min="13847" max="13847" width="17.28515625" style="53" customWidth="1"/>
    <col min="13848" max="13848" width="27.42578125" style="53" customWidth="1"/>
    <col min="13849" max="14081" width="11.42578125" style="53"/>
    <col min="14082" max="14082" width="10.85546875" style="53" customWidth="1"/>
    <col min="14083" max="14083" width="11.140625" style="53" customWidth="1"/>
    <col min="14084" max="14084" width="11.85546875" style="53" customWidth="1"/>
    <col min="14085" max="14085" width="15.42578125" style="53" customWidth="1"/>
    <col min="14086" max="14087" width="9.85546875" style="53" customWidth="1"/>
    <col min="14088" max="14088" width="6.5703125" style="53" customWidth="1"/>
    <col min="14089" max="14091" width="11.42578125" style="53"/>
    <col min="14092" max="14092" width="9.140625" style="53" customWidth="1"/>
    <col min="14093" max="14094" width="6.140625" style="53" customWidth="1"/>
    <col min="14095" max="14095" width="26.42578125" style="53" customWidth="1"/>
    <col min="14096" max="14096" width="17.140625" style="53" customWidth="1"/>
    <col min="14097" max="14097" width="40" style="53" customWidth="1"/>
    <col min="14098" max="14099" width="11.42578125" style="53"/>
    <col min="14100" max="14100" width="37.85546875" style="53" customWidth="1"/>
    <col min="14101" max="14101" width="35.85546875" style="53" customWidth="1"/>
    <col min="14102" max="14102" width="16.85546875" style="53" customWidth="1"/>
    <col min="14103" max="14103" width="17.28515625" style="53" customWidth="1"/>
    <col min="14104" max="14104" width="27.42578125" style="53" customWidth="1"/>
    <col min="14105" max="14337" width="11.42578125" style="53"/>
    <col min="14338" max="14338" width="10.85546875" style="53" customWidth="1"/>
    <col min="14339" max="14339" width="11.140625" style="53" customWidth="1"/>
    <col min="14340" max="14340" width="11.85546875" style="53" customWidth="1"/>
    <col min="14341" max="14341" width="15.42578125" style="53" customWidth="1"/>
    <col min="14342" max="14343" width="9.85546875" style="53" customWidth="1"/>
    <col min="14344" max="14344" width="6.5703125" style="53" customWidth="1"/>
    <col min="14345" max="14347" width="11.42578125" style="53"/>
    <col min="14348" max="14348" width="9.140625" style="53" customWidth="1"/>
    <col min="14349" max="14350" width="6.140625" style="53" customWidth="1"/>
    <col min="14351" max="14351" width="26.42578125" style="53" customWidth="1"/>
    <col min="14352" max="14352" width="17.140625" style="53" customWidth="1"/>
    <col min="14353" max="14353" width="40" style="53" customWidth="1"/>
    <col min="14354" max="14355" width="11.42578125" style="53"/>
    <col min="14356" max="14356" width="37.85546875" style="53" customWidth="1"/>
    <col min="14357" max="14357" width="35.85546875" style="53" customWidth="1"/>
    <col min="14358" max="14358" width="16.85546875" style="53" customWidth="1"/>
    <col min="14359" max="14359" width="17.28515625" style="53" customWidth="1"/>
    <col min="14360" max="14360" width="27.42578125" style="53" customWidth="1"/>
    <col min="14361" max="14593" width="11.42578125" style="53"/>
    <col min="14594" max="14594" width="10.85546875" style="53" customWidth="1"/>
    <col min="14595" max="14595" width="11.140625" style="53" customWidth="1"/>
    <col min="14596" max="14596" width="11.85546875" style="53" customWidth="1"/>
    <col min="14597" max="14597" width="15.42578125" style="53" customWidth="1"/>
    <col min="14598" max="14599" width="9.85546875" style="53" customWidth="1"/>
    <col min="14600" max="14600" width="6.5703125" style="53" customWidth="1"/>
    <col min="14601" max="14603" width="11.42578125" style="53"/>
    <col min="14604" max="14604" width="9.140625" style="53" customWidth="1"/>
    <col min="14605" max="14606" width="6.140625" style="53" customWidth="1"/>
    <col min="14607" max="14607" width="26.42578125" style="53" customWidth="1"/>
    <col min="14608" max="14608" width="17.140625" style="53" customWidth="1"/>
    <col min="14609" max="14609" width="40" style="53" customWidth="1"/>
    <col min="14610" max="14611" width="11.42578125" style="53"/>
    <col min="14612" max="14612" width="37.85546875" style="53" customWidth="1"/>
    <col min="14613" max="14613" width="35.85546875" style="53" customWidth="1"/>
    <col min="14614" max="14614" width="16.85546875" style="53" customWidth="1"/>
    <col min="14615" max="14615" width="17.28515625" style="53" customWidth="1"/>
    <col min="14616" max="14616" width="27.42578125" style="53" customWidth="1"/>
    <col min="14617" max="14849" width="11.42578125" style="53"/>
    <col min="14850" max="14850" width="10.85546875" style="53" customWidth="1"/>
    <col min="14851" max="14851" width="11.140625" style="53" customWidth="1"/>
    <col min="14852" max="14852" width="11.85546875" style="53" customWidth="1"/>
    <col min="14853" max="14853" width="15.42578125" style="53" customWidth="1"/>
    <col min="14854" max="14855" width="9.85546875" style="53" customWidth="1"/>
    <col min="14856" max="14856" width="6.5703125" style="53" customWidth="1"/>
    <col min="14857" max="14859" width="11.42578125" style="53"/>
    <col min="14860" max="14860" width="9.140625" style="53" customWidth="1"/>
    <col min="14861" max="14862" width="6.140625" style="53" customWidth="1"/>
    <col min="14863" max="14863" width="26.42578125" style="53" customWidth="1"/>
    <col min="14864" max="14864" width="17.140625" style="53" customWidth="1"/>
    <col min="14865" max="14865" width="40" style="53" customWidth="1"/>
    <col min="14866" max="14867" width="11.42578125" style="53"/>
    <col min="14868" max="14868" width="37.85546875" style="53" customWidth="1"/>
    <col min="14869" max="14869" width="35.85546875" style="53" customWidth="1"/>
    <col min="14870" max="14870" width="16.85546875" style="53" customWidth="1"/>
    <col min="14871" max="14871" width="17.28515625" style="53" customWidth="1"/>
    <col min="14872" max="14872" width="27.42578125" style="53" customWidth="1"/>
    <col min="14873" max="15105" width="11.42578125" style="53"/>
    <col min="15106" max="15106" width="10.85546875" style="53" customWidth="1"/>
    <col min="15107" max="15107" width="11.140625" style="53" customWidth="1"/>
    <col min="15108" max="15108" width="11.85546875" style="53" customWidth="1"/>
    <col min="15109" max="15109" width="15.42578125" style="53" customWidth="1"/>
    <col min="15110" max="15111" width="9.85546875" style="53" customWidth="1"/>
    <col min="15112" max="15112" width="6.5703125" style="53" customWidth="1"/>
    <col min="15113" max="15115" width="11.42578125" style="53"/>
    <col min="15116" max="15116" width="9.140625" style="53" customWidth="1"/>
    <col min="15117" max="15118" width="6.140625" style="53" customWidth="1"/>
    <col min="15119" max="15119" width="26.42578125" style="53" customWidth="1"/>
    <col min="15120" max="15120" width="17.140625" style="53" customWidth="1"/>
    <col min="15121" max="15121" width="40" style="53" customWidth="1"/>
    <col min="15122" max="15123" width="11.42578125" style="53"/>
    <col min="15124" max="15124" width="37.85546875" style="53" customWidth="1"/>
    <col min="15125" max="15125" width="35.85546875" style="53" customWidth="1"/>
    <col min="15126" max="15126" width="16.85546875" style="53" customWidth="1"/>
    <col min="15127" max="15127" width="17.28515625" style="53" customWidth="1"/>
    <col min="15128" max="15128" width="27.42578125" style="53" customWidth="1"/>
    <col min="15129" max="15361" width="11.42578125" style="53"/>
    <col min="15362" max="15362" width="10.85546875" style="53" customWidth="1"/>
    <col min="15363" max="15363" width="11.140625" style="53" customWidth="1"/>
    <col min="15364" max="15364" width="11.85546875" style="53" customWidth="1"/>
    <col min="15365" max="15365" width="15.42578125" style="53" customWidth="1"/>
    <col min="15366" max="15367" width="9.85546875" style="53" customWidth="1"/>
    <col min="15368" max="15368" width="6.5703125" style="53" customWidth="1"/>
    <col min="15369" max="15371" width="11.42578125" style="53"/>
    <col min="15372" max="15372" width="9.140625" style="53" customWidth="1"/>
    <col min="15373" max="15374" width="6.140625" style="53" customWidth="1"/>
    <col min="15375" max="15375" width="26.42578125" style="53" customWidth="1"/>
    <col min="15376" max="15376" width="17.140625" style="53" customWidth="1"/>
    <col min="15377" max="15377" width="40" style="53" customWidth="1"/>
    <col min="15378" max="15379" width="11.42578125" style="53"/>
    <col min="15380" max="15380" width="37.85546875" style="53" customWidth="1"/>
    <col min="15381" max="15381" width="35.85546875" style="53" customWidth="1"/>
    <col min="15382" max="15382" width="16.85546875" style="53" customWidth="1"/>
    <col min="15383" max="15383" width="17.28515625" style="53" customWidth="1"/>
    <col min="15384" max="15384" width="27.42578125" style="53" customWidth="1"/>
    <col min="15385" max="15617" width="11.42578125" style="53"/>
    <col min="15618" max="15618" width="10.85546875" style="53" customWidth="1"/>
    <col min="15619" max="15619" width="11.140625" style="53" customWidth="1"/>
    <col min="15620" max="15620" width="11.85546875" style="53" customWidth="1"/>
    <col min="15621" max="15621" width="15.42578125" style="53" customWidth="1"/>
    <col min="15622" max="15623" width="9.85546875" style="53" customWidth="1"/>
    <col min="15624" max="15624" width="6.5703125" style="53" customWidth="1"/>
    <col min="15625" max="15627" width="11.42578125" style="53"/>
    <col min="15628" max="15628" width="9.140625" style="53" customWidth="1"/>
    <col min="15629" max="15630" width="6.140625" style="53" customWidth="1"/>
    <col min="15631" max="15631" width="26.42578125" style="53" customWidth="1"/>
    <col min="15632" max="15632" width="17.140625" style="53" customWidth="1"/>
    <col min="15633" max="15633" width="40" style="53" customWidth="1"/>
    <col min="15634" max="15635" width="11.42578125" style="53"/>
    <col min="15636" max="15636" width="37.85546875" style="53" customWidth="1"/>
    <col min="15637" max="15637" width="35.85546875" style="53" customWidth="1"/>
    <col min="15638" max="15638" width="16.85546875" style="53" customWidth="1"/>
    <col min="15639" max="15639" width="17.28515625" style="53" customWidth="1"/>
    <col min="15640" max="15640" width="27.42578125" style="53" customWidth="1"/>
    <col min="15641" max="15873" width="11.42578125" style="53"/>
    <col min="15874" max="15874" width="10.85546875" style="53" customWidth="1"/>
    <col min="15875" max="15875" width="11.140625" style="53" customWidth="1"/>
    <col min="15876" max="15876" width="11.85546875" style="53" customWidth="1"/>
    <col min="15877" max="15877" width="15.42578125" style="53" customWidth="1"/>
    <col min="15878" max="15879" width="9.85546875" style="53" customWidth="1"/>
    <col min="15880" max="15880" width="6.5703125" style="53" customWidth="1"/>
    <col min="15881" max="15883" width="11.42578125" style="53"/>
    <col min="15884" max="15884" width="9.140625" style="53" customWidth="1"/>
    <col min="15885" max="15886" width="6.140625" style="53" customWidth="1"/>
    <col min="15887" max="15887" width="26.42578125" style="53" customWidth="1"/>
    <col min="15888" max="15888" width="17.140625" style="53" customWidth="1"/>
    <col min="15889" max="15889" width="40" style="53" customWidth="1"/>
    <col min="15890" max="15891" width="11.42578125" style="53"/>
    <col min="15892" max="15892" width="37.85546875" style="53" customWidth="1"/>
    <col min="15893" max="15893" width="35.85546875" style="53" customWidth="1"/>
    <col min="15894" max="15894" width="16.85546875" style="53" customWidth="1"/>
    <col min="15895" max="15895" width="17.28515625" style="53" customWidth="1"/>
    <col min="15896" max="15896" width="27.42578125" style="53" customWidth="1"/>
    <col min="15897" max="16129" width="11.42578125" style="53"/>
    <col min="16130" max="16130" width="10.85546875" style="53" customWidth="1"/>
    <col min="16131" max="16131" width="11.140625" style="53" customWidth="1"/>
    <col min="16132" max="16132" width="11.85546875" style="53" customWidth="1"/>
    <col min="16133" max="16133" width="15.42578125" style="53" customWidth="1"/>
    <col min="16134" max="16135" width="9.85546875" style="53" customWidth="1"/>
    <col min="16136" max="16136" width="6.5703125" style="53" customWidth="1"/>
    <col min="16137" max="16139" width="11.42578125" style="53"/>
    <col min="16140" max="16140" width="9.140625" style="53" customWidth="1"/>
    <col min="16141" max="16142" width="6.140625" style="53" customWidth="1"/>
    <col min="16143" max="16143" width="26.42578125" style="53" customWidth="1"/>
    <col min="16144" max="16144" width="17.140625" style="53" customWidth="1"/>
    <col min="16145" max="16145" width="40" style="53" customWidth="1"/>
    <col min="16146" max="16147" width="11.42578125" style="53"/>
    <col min="16148" max="16148" width="37.85546875" style="53" customWidth="1"/>
    <col min="16149" max="16149" width="35.85546875" style="53" customWidth="1"/>
    <col min="16150" max="16150" width="16.85546875" style="53" customWidth="1"/>
    <col min="16151" max="16151" width="17.28515625" style="53" customWidth="1"/>
    <col min="16152" max="16152" width="27.42578125" style="53" customWidth="1"/>
    <col min="16153" max="16384" width="11.42578125" style="53"/>
  </cols>
  <sheetData>
    <row r="1" spans="1:253" s="38" customFormat="1" ht="27" customHeight="1">
      <c r="A1" s="36"/>
      <c r="B1" s="37"/>
      <c r="C1" s="268" t="s">
        <v>50</v>
      </c>
      <c r="D1" s="268"/>
      <c r="E1" s="268"/>
      <c r="F1" s="268"/>
      <c r="G1" s="268"/>
      <c r="H1" s="268"/>
      <c r="I1" s="268"/>
      <c r="J1" s="268"/>
      <c r="K1" s="268"/>
      <c r="L1" s="268"/>
      <c r="M1" s="268"/>
      <c r="N1" s="268"/>
      <c r="O1" s="268"/>
      <c r="P1" s="269"/>
      <c r="T1" s="39"/>
    </row>
    <row r="2" spans="1:253" s="38" customFormat="1" ht="13.9" thickBot="1">
      <c r="A2" s="40"/>
      <c r="B2" s="41"/>
      <c r="C2" s="270" t="s">
        <v>51</v>
      </c>
      <c r="D2" s="270"/>
      <c r="E2" s="270"/>
      <c r="F2" s="270"/>
      <c r="G2" s="270"/>
      <c r="H2" s="270"/>
      <c r="I2" s="270"/>
      <c r="J2" s="270"/>
      <c r="K2" s="270"/>
      <c r="L2" s="270"/>
      <c r="M2" s="270"/>
      <c r="N2" s="270"/>
      <c r="O2" s="270"/>
      <c r="P2" s="271"/>
      <c r="T2" s="42"/>
    </row>
    <row r="3" spans="1:253" s="38" customFormat="1" ht="15.6">
      <c r="A3" s="43" t="s">
        <v>52</v>
      </c>
      <c r="C3" s="44"/>
    </row>
    <row r="4" spans="1:253" s="38" customFormat="1">
      <c r="B4" s="45" t="s">
        <v>53</v>
      </c>
      <c r="C4" s="272" t="s">
        <v>54</v>
      </c>
      <c r="D4" s="273"/>
    </row>
    <row r="5" spans="1:253" s="38" customFormat="1">
      <c r="B5" s="45" t="s">
        <v>55</v>
      </c>
      <c r="C5" s="272" t="s">
        <v>56</v>
      </c>
      <c r="D5" s="273"/>
    </row>
    <row r="6" spans="1:253" s="38" customFormat="1">
      <c r="B6" s="45" t="s">
        <v>57</v>
      </c>
      <c r="C6" s="46">
        <v>44985</v>
      </c>
      <c r="D6" s="47">
        <v>44988</v>
      </c>
    </row>
    <row r="7" spans="1:253" s="38" customFormat="1" ht="16.5" customHeight="1">
      <c r="B7" s="45" t="s">
        <v>58</v>
      </c>
      <c r="C7" s="48" t="s">
        <v>59</v>
      </c>
      <c r="D7" s="49"/>
      <c r="E7" s="50"/>
      <c r="F7" s="50"/>
      <c r="G7" s="50"/>
      <c r="H7" s="50"/>
      <c r="I7" s="50"/>
      <c r="J7" s="50"/>
      <c r="K7" s="50"/>
      <c r="L7" s="50"/>
      <c r="M7" s="50"/>
      <c r="N7" s="50"/>
      <c r="O7" s="50"/>
    </row>
    <row r="8" spans="1:253" s="38" customFormat="1">
      <c r="B8" s="45" t="s">
        <v>60</v>
      </c>
      <c r="C8" s="51" t="s">
        <v>61</v>
      </c>
      <c r="D8" s="45"/>
    </row>
    <row r="9" spans="1:253" s="38" customFormat="1" ht="15.6">
      <c r="A9" s="43" t="s">
        <v>62</v>
      </c>
      <c r="K9" s="274"/>
      <c r="L9" s="274"/>
      <c r="M9" s="274"/>
      <c r="N9" s="52"/>
      <c r="O9" s="52"/>
    </row>
    <row r="10" spans="1:253" ht="13.9" thickBot="1"/>
    <row r="11" spans="1:253" s="64" customFormat="1" ht="27" thickBot="1">
      <c r="A11" s="54" t="s">
        <v>63</v>
      </c>
      <c r="B11" s="275" t="s">
        <v>64</v>
      </c>
      <c r="C11" s="276"/>
      <c r="D11" s="276"/>
      <c r="E11" s="276"/>
      <c r="F11" s="276"/>
      <c r="G11" s="277"/>
      <c r="H11" s="55"/>
      <c r="I11" s="275" t="s">
        <v>65</v>
      </c>
      <c r="J11" s="276"/>
      <c r="K11" s="276"/>
      <c r="L11" s="277"/>
      <c r="M11" s="56" t="s">
        <v>66</v>
      </c>
      <c r="N11" s="57" t="s">
        <v>67</v>
      </c>
      <c r="O11" s="58" t="s">
        <v>68</v>
      </c>
      <c r="P11" s="59" t="s">
        <v>69</v>
      </c>
      <c r="Q11" s="60" t="s">
        <v>70</v>
      </c>
      <c r="R11" s="60" t="s">
        <v>71</v>
      </c>
      <c r="S11" s="61" t="s">
        <v>72</v>
      </c>
      <c r="T11" s="62" t="s">
        <v>73</v>
      </c>
      <c r="U11" s="60" t="s">
        <v>74</v>
      </c>
      <c r="V11" s="60" t="s">
        <v>71</v>
      </c>
      <c r="W11" s="63" t="s">
        <v>72</v>
      </c>
      <c r="X11" s="63" t="s">
        <v>75</v>
      </c>
    </row>
    <row r="12" spans="1:253" s="64" customFormat="1">
      <c r="A12" s="279" t="s">
        <v>76</v>
      </c>
      <c r="B12" s="280"/>
      <c r="C12" s="280"/>
      <c r="D12" s="280"/>
      <c r="E12" s="280"/>
      <c r="F12" s="280"/>
      <c r="G12" s="280"/>
      <c r="H12" s="280"/>
      <c r="I12" s="280"/>
      <c r="J12" s="280"/>
      <c r="K12" s="280"/>
      <c r="L12" s="280"/>
      <c r="M12" s="65" t="e">
        <f>+M23+M36+#REF!+M39+#REF!+M51+M59+#REF!+M68+M75</f>
        <v>#REF!</v>
      </c>
      <c r="N12" s="65" t="e">
        <f>+N23+N36+#REF!+N39+#REF!+N51+N59+#REF!+N68+N75</f>
        <v>#REF!</v>
      </c>
      <c r="O12" s="66"/>
      <c r="P12" s="65"/>
      <c r="T12" s="67"/>
      <c r="X12" s="68"/>
    </row>
    <row r="13" spans="1:253" s="64" customFormat="1" ht="13.9" thickBot="1">
      <c r="A13" s="67"/>
      <c r="O13" s="69"/>
      <c r="P13" s="70"/>
      <c r="T13" s="67"/>
      <c r="X13" s="68"/>
    </row>
    <row r="14" spans="1:253" s="64" customFormat="1" ht="13.9" thickBot="1">
      <c r="A14" s="281" t="s">
        <v>77</v>
      </c>
      <c r="B14" s="282"/>
      <c r="C14" s="282"/>
      <c r="D14" s="282"/>
      <c r="E14" s="282"/>
      <c r="F14" s="282"/>
      <c r="G14" s="282"/>
      <c r="H14" s="282"/>
      <c r="I14" s="282"/>
      <c r="J14" s="282"/>
      <c r="K14" s="282"/>
      <c r="L14" s="282"/>
      <c r="M14" s="282"/>
      <c r="N14" s="282"/>
      <c r="O14" s="71"/>
      <c r="P14" s="72"/>
      <c r="Q14" s="71"/>
      <c r="R14" s="71"/>
      <c r="S14" s="71"/>
      <c r="T14" s="73"/>
      <c r="U14" s="74"/>
      <c r="V14" s="74"/>
      <c r="W14" s="74"/>
      <c r="X14" s="74"/>
    </row>
    <row r="15" spans="1:253" s="64" customFormat="1" ht="27" customHeight="1">
      <c r="A15" s="75" t="s">
        <v>78</v>
      </c>
      <c r="B15" s="283" t="s">
        <v>79</v>
      </c>
      <c r="C15" s="284"/>
      <c r="D15" s="284"/>
      <c r="E15" s="284"/>
      <c r="F15" s="284"/>
      <c r="G15" s="285"/>
      <c r="H15" s="286" t="s">
        <v>80</v>
      </c>
      <c r="I15" s="289"/>
      <c r="J15" s="290"/>
      <c r="K15" s="290"/>
      <c r="L15" s="290"/>
      <c r="M15" s="78"/>
      <c r="N15" s="79"/>
      <c r="O15" s="80"/>
      <c r="P15" s="291" t="s">
        <v>81</v>
      </c>
      <c r="Q15" s="80"/>
      <c r="R15" s="80"/>
      <c r="S15" s="82"/>
      <c r="T15" s="83"/>
      <c r="U15" s="80"/>
      <c r="V15" s="82"/>
      <c r="W15" s="80"/>
      <c r="X15" s="84"/>
      <c r="Y15" s="85"/>
      <c r="Z15" s="85"/>
      <c r="AA15" s="85"/>
      <c r="AB15" s="85"/>
      <c r="AC15" s="85"/>
      <c r="AD15" s="85"/>
      <c r="AE15" s="86"/>
      <c r="AF15" s="278"/>
      <c r="AG15" s="278"/>
      <c r="AH15" s="278"/>
      <c r="AI15" s="278"/>
      <c r="AJ15" s="278"/>
      <c r="AK15" s="278"/>
      <c r="AL15" s="278"/>
      <c r="AM15" s="278"/>
      <c r="AN15" s="278"/>
      <c r="AO15" s="278"/>
      <c r="AP15" s="86"/>
      <c r="AQ15" s="278"/>
      <c r="AR15" s="278"/>
      <c r="AS15" s="278"/>
      <c r="AT15" s="278"/>
      <c r="AU15" s="278"/>
      <c r="AV15" s="278"/>
      <c r="AW15" s="278"/>
      <c r="AX15" s="278"/>
      <c r="AY15" s="278"/>
      <c r="AZ15" s="278"/>
      <c r="BA15" s="86"/>
      <c r="BB15" s="278"/>
      <c r="BC15" s="278"/>
      <c r="BD15" s="278"/>
      <c r="BE15" s="278"/>
      <c r="BF15" s="278"/>
      <c r="BG15" s="278"/>
      <c r="BH15" s="278"/>
      <c r="BI15" s="278"/>
      <c r="BJ15" s="278"/>
      <c r="BK15" s="278"/>
      <c r="BL15" s="86"/>
      <c r="BM15" s="278"/>
      <c r="BN15" s="278"/>
      <c r="BO15" s="278"/>
      <c r="BP15" s="278"/>
      <c r="BQ15" s="278"/>
      <c r="BR15" s="278"/>
      <c r="BS15" s="278"/>
      <c r="BT15" s="278"/>
      <c r="BU15" s="278"/>
      <c r="BV15" s="278"/>
      <c r="BW15" s="86"/>
      <c r="BX15" s="278"/>
      <c r="BY15" s="278"/>
      <c r="BZ15" s="278"/>
      <c r="CA15" s="278"/>
      <c r="CB15" s="278"/>
      <c r="CC15" s="278"/>
      <c r="CD15" s="278"/>
      <c r="CE15" s="278"/>
      <c r="CF15" s="278"/>
      <c r="CG15" s="278"/>
      <c r="CH15" s="86"/>
      <c r="CI15" s="278"/>
      <c r="CJ15" s="278"/>
      <c r="CK15" s="278"/>
      <c r="CL15" s="278"/>
      <c r="CM15" s="278"/>
      <c r="CN15" s="278"/>
      <c r="CO15" s="278"/>
      <c r="CP15" s="278"/>
      <c r="CQ15" s="278"/>
      <c r="CR15" s="278"/>
      <c r="CS15" s="86"/>
      <c r="CT15" s="278"/>
      <c r="CU15" s="278"/>
      <c r="CV15" s="278"/>
      <c r="CW15" s="278"/>
      <c r="CX15" s="278"/>
      <c r="CY15" s="278"/>
      <c r="CZ15" s="278"/>
      <c r="DA15" s="278"/>
      <c r="DB15" s="278"/>
      <c r="DC15" s="278"/>
      <c r="DD15" s="86"/>
      <c r="DE15" s="278"/>
      <c r="DF15" s="278"/>
      <c r="DG15" s="278"/>
      <c r="DH15" s="278"/>
      <c r="DI15" s="278"/>
      <c r="DJ15" s="278"/>
      <c r="DK15" s="278"/>
      <c r="DL15" s="278"/>
      <c r="DM15" s="278"/>
      <c r="DN15" s="278"/>
      <c r="DO15" s="86"/>
      <c r="DP15" s="278"/>
      <c r="DQ15" s="278"/>
      <c r="DR15" s="278"/>
      <c r="DS15" s="278"/>
      <c r="DT15" s="278"/>
      <c r="DU15" s="278"/>
      <c r="DV15" s="278"/>
      <c r="DW15" s="278"/>
      <c r="DX15" s="278"/>
      <c r="DY15" s="278"/>
      <c r="DZ15" s="86"/>
      <c r="EA15" s="278"/>
      <c r="EB15" s="278"/>
      <c r="EC15" s="278"/>
      <c r="ED15" s="278"/>
      <c r="EE15" s="278"/>
      <c r="EF15" s="278"/>
      <c r="EG15" s="278"/>
      <c r="EH15" s="278"/>
      <c r="EI15" s="278"/>
      <c r="EJ15" s="278"/>
      <c r="EK15" s="86"/>
      <c r="EL15" s="278"/>
      <c r="EM15" s="278"/>
      <c r="EN15" s="278"/>
      <c r="EO15" s="278"/>
      <c r="EP15" s="278"/>
      <c r="EQ15" s="278"/>
      <c r="ER15" s="278"/>
      <c r="ES15" s="278"/>
      <c r="ET15" s="278"/>
      <c r="EU15" s="278"/>
      <c r="EV15" s="86"/>
      <c r="EW15" s="278"/>
      <c r="EX15" s="278"/>
      <c r="EY15" s="278"/>
      <c r="EZ15" s="278"/>
      <c r="FA15" s="278"/>
      <c r="FB15" s="278"/>
      <c r="FC15" s="278"/>
      <c r="FD15" s="278"/>
      <c r="FE15" s="278"/>
      <c r="FF15" s="278"/>
      <c r="FG15" s="86"/>
      <c r="FH15" s="278"/>
      <c r="FI15" s="278"/>
      <c r="FJ15" s="278"/>
      <c r="FK15" s="278"/>
      <c r="FL15" s="278"/>
      <c r="FM15" s="278"/>
      <c r="FN15" s="278"/>
      <c r="FO15" s="278"/>
      <c r="FP15" s="278"/>
      <c r="FQ15" s="278"/>
      <c r="FR15" s="86"/>
      <c r="FS15" s="278"/>
      <c r="FT15" s="278"/>
      <c r="FU15" s="278"/>
      <c r="FV15" s="278"/>
      <c r="FW15" s="278"/>
      <c r="FX15" s="278"/>
      <c r="FY15" s="278"/>
      <c r="FZ15" s="278"/>
      <c r="GA15" s="278"/>
      <c r="GB15" s="278"/>
      <c r="GC15" s="86"/>
      <c r="GD15" s="278"/>
      <c r="GE15" s="278"/>
      <c r="GF15" s="278"/>
      <c r="GG15" s="278"/>
      <c r="GH15" s="278"/>
      <c r="GI15" s="278"/>
      <c r="GJ15" s="278"/>
      <c r="GK15" s="278"/>
      <c r="GL15" s="278"/>
      <c r="GM15" s="278"/>
      <c r="GN15" s="86"/>
      <c r="GO15" s="278"/>
      <c r="GP15" s="278"/>
      <c r="GQ15" s="278"/>
      <c r="GR15" s="278"/>
      <c r="GS15" s="278"/>
      <c r="GT15" s="278"/>
      <c r="GU15" s="278"/>
      <c r="GV15" s="278"/>
      <c r="GW15" s="278"/>
      <c r="GX15" s="278"/>
      <c r="GY15" s="86"/>
      <c r="GZ15" s="278"/>
      <c r="HA15" s="278"/>
      <c r="HB15" s="278"/>
      <c r="HC15" s="278"/>
      <c r="HD15" s="278"/>
      <c r="HE15" s="278"/>
      <c r="HF15" s="278"/>
      <c r="HG15" s="278"/>
      <c r="HH15" s="278"/>
      <c r="HI15" s="278"/>
      <c r="HJ15" s="86"/>
      <c r="HK15" s="278"/>
      <c r="HL15" s="278"/>
      <c r="HM15" s="278"/>
      <c r="HN15" s="278"/>
      <c r="HO15" s="278"/>
      <c r="HP15" s="278"/>
      <c r="HQ15" s="278"/>
      <c r="HR15" s="278"/>
      <c r="HS15" s="278"/>
      <c r="HT15" s="278"/>
      <c r="HU15" s="86"/>
      <c r="HV15" s="278"/>
      <c r="HW15" s="278"/>
      <c r="HX15" s="278"/>
      <c r="HY15" s="278"/>
      <c r="HZ15" s="278"/>
      <c r="IA15" s="278"/>
      <c r="IB15" s="278"/>
      <c r="IC15" s="278"/>
      <c r="ID15" s="278"/>
      <c r="IE15" s="278"/>
      <c r="IF15" s="86"/>
      <c r="IG15" s="278"/>
      <c r="IH15" s="278"/>
      <c r="II15" s="278"/>
      <c r="IJ15" s="278"/>
      <c r="IK15" s="278"/>
      <c r="IL15" s="278"/>
      <c r="IM15" s="278"/>
      <c r="IN15" s="278"/>
      <c r="IO15" s="278"/>
      <c r="IP15" s="278"/>
      <c r="IQ15" s="86"/>
      <c r="IR15" s="278"/>
      <c r="IS15" s="278"/>
    </row>
    <row r="16" spans="1:253" s="64" customFormat="1" ht="40.5" customHeight="1">
      <c r="A16" s="87" t="s">
        <v>82</v>
      </c>
      <c r="B16" s="295" t="s">
        <v>83</v>
      </c>
      <c r="C16" s="296"/>
      <c r="D16" s="296"/>
      <c r="E16" s="296"/>
      <c r="F16" s="296"/>
      <c r="G16" s="297"/>
      <c r="H16" s="287"/>
      <c r="I16" s="300"/>
      <c r="J16" s="301"/>
      <c r="K16" s="301"/>
      <c r="L16" s="302"/>
      <c r="M16" s="88"/>
      <c r="N16" s="89"/>
      <c r="O16" s="90"/>
      <c r="P16" s="291"/>
      <c r="Q16" s="80"/>
      <c r="R16" s="80"/>
      <c r="S16" s="82"/>
      <c r="T16" s="83"/>
      <c r="U16" s="80"/>
      <c r="V16" s="82"/>
      <c r="W16" s="80"/>
      <c r="X16" s="84"/>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c r="DP16" s="86"/>
      <c r="DQ16" s="86"/>
      <c r="DR16" s="86"/>
      <c r="DS16" s="86"/>
      <c r="DT16" s="86"/>
      <c r="DU16" s="86"/>
      <c r="DV16" s="86"/>
      <c r="DW16" s="86"/>
      <c r="DX16" s="86"/>
      <c r="DY16" s="86"/>
      <c r="DZ16" s="86"/>
      <c r="EA16" s="86"/>
      <c r="EB16" s="86"/>
      <c r="EC16" s="86"/>
      <c r="ED16" s="86"/>
      <c r="EE16" s="86"/>
      <c r="EF16" s="86"/>
      <c r="EG16" s="86"/>
      <c r="EH16" s="86"/>
      <c r="EI16" s="86"/>
      <c r="EJ16" s="86"/>
      <c r="EK16" s="86"/>
      <c r="EL16" s="86"/>
      <c r="EM16" s="86"/>
      <c r="EN16" s="86"/>
      <c r="EO16" s="86"/>
      <c r="EP16" s="86"/>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6"/>
      <c r="FO16" s="86"/>
      <c r="FP16" s="86"/>
      <c r="FQ16" s="86"/>
      <c r="FR16" s="86"/>
      <c r="FS16" s="86"/>
      <c r="FT16" s="86"/>
      <c r="FU16" s="86"/>
      <c r="FV16" s="86"/>
      <c r="FW16" s="86"/>
      <c r="FX16" s="86"/>
      <c r="FY16" s="86"/>
      <c r="FZ16" s="86"/>
      <c r="GA16" s="86"/>
      <c r="GB16" s="86"/>
      <c r="GC16" s="86"/>
      <c r="GD16" s="86"/>
      <c r="GE16" s="86"/>
      <c r="GF16" s="86"/>
      <c r="GG16" s="86"/>
      <c r="GH16" s="86"/>
      <c r="GI16" s="86"/>
      <c r="GJ16" s="86"/>
      <c r="GK16" s="86"/>
      <c r="GL16" s="86"/>
      <c r="GM16" s="86"/>
      <c r="GN16" s="86"/>
      <c r="GO16" s="86"/>
      <c r="GP16" s="86"/>
      <c r="GQ16" s="86"/>
      <c r="GR16" s="86"/>
      <c r="GS16" s="86"/>
      <c r="GT16" s="86"/>
      <c r="GU16" s="86"/>
      <c r="GV16" s="86"/>
      <c r="GW16" s="86"/>
      <c r="GX16" s="86"/>
      <c r="GY16" s="86"/>
      <c r="GZ16" s="86"/>
      <c r="HA16" s="86"/>
      <c r="HB16" s="86"/>
      <c r="HC16" s="86"/>
      <c r="HD16" s="86"/>
      <c r="HE16" s="86"/>
      <c r="HF16" s="86"/>
      <c r="HG16" s="86"/>
      <c r="HH16" s="86"/>
      <c r="HI16" s="86"/>
      <c r="HJ16" s="86"/>
      <c r="HK16" s="86"/>
      <c r="HL16" s="86"/>
      <c r="HM16" s="86"/>
      <c r="HN16" s="86"/>
      <c r="HO16" s="86"/>
      <c r="HP16" s="86"/>
      <c r="HQ16" s="86"/>
      <c r="HR16" s="86"/>
      <c r="HS16" s="86"/>
      <c r="HT16" s="86"/>
      <c r="HU16" s="86"/>
      <c r="HV16" s="86"/>
      <c r="HW16" s="86"/>
      <c r="HX16" s="86"/>
      <c r="HY16" s="86"/>
      <c r="HZ16" s="86"/>
      <c r="IA16" s="86"/>
      <c r="IB16" s="86"/>
      <c r="IC16" s="86"/>
      <c r="ID16" s="86"/>
      <c r="IE16" s="86"/>
      <c r="IF16" s="86"/>
      <c r="IG16" s="86"/>
      <c r="IH16" s="86"/>
      <c r="II16" s="86"/>
      <c r="IJ16" s="86"/>
      <c r="IK16" s="86"/>
      <c r="IL16" s="86"/>
      <c r="IM16" s="86"/>
      <c r="IN16" s="86"/>
      <c r="IO16" s="86"/>
      <c r="IP16" s="86"/>
      <c r="IQ16" s="86"/>
      <c r="IR16" s="86"/>
      <c r="IS16" s="86"/>
    </row>
    <row r="17" spans="1:253" s="64" customFormat="1" ht="25.5" customHeight="1">
      <c r="A17" s="91" t="s">
        <v>84</v>
      </c>
      <c r="B17" s="295" t="s">
        <v>85</v>
      </c>
      <c r="C17" s="296"/>
      <c r="D17" s="296"/>
      <c r="E17" s="296"/>
      <c r="F17" s="296"/>
      <c r="G17" s="297"/>
      <c r="H17" s="287"/>
      <c r="I17" s="292"/>
      <c r="J17" s="293"/>
      <c r="K17" s="293"/>
      <c r="L17" s="293"/>
      <c r="M17" s="88"/>
      <c r="N17" s="89"/>
      <c r="O17" s="90"/>
      <c r="P17" s="291"/>
      <c r="Q17" s="90"/>
      <c r="R17" s="90"/>
      <c r="S17" s="94"/>
      <c r="T17" s="95"/>
      <c r="U17" s="90"/>
      <c r="V17" s="94"/>
      <c r="W17" s="90"/>
      <c r="X17" s="9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86"/>
      <c r="DB17" s="86"/>
      <c r="DC17" s="86"/>
      <c r="DD17" s="86"/>
      <c r="DE17" s="86"/>
      <c r="DF17" s="86"/>
      <c r="DG17" s="86"/>
      <c r="DH17" s="86"/>
      <c r="DI17" s="86"/>
      <c r="DJ17" s="86"/>
      <c r="DK17" s="86"/>
      <c r="DL17" s="86"/>
      <c r="DM17" s="86"/>
      <c r="DN17" s="86"/>
      <c r="DO17" s="86"/>
      <c r="DP17" s="86"/>
      <c r="DQ17" s="86"/>
      <c r="DR17" s="86"/>
      <c r="DS17" s="86"/>
      <c r="DT17" s="86"/>
      <c r="DU17" s="86"/>
      <c r="DV17" s="86"/>
      <c r="DW17" s="86"/>
      <c r="DX17" s="86"/>
      <c r="DY17" s="86"/>
      <c r="DZ17" s="86"/>
      <c r="EA17" s="86"/>
      <c r="EB17" s="86"/>
      <c r="EC17" s="86"/>
      <c r="ED17" s="86"/>
      <c r="EE17" s="86"/>
      <c r="EF17" s="86"/>
      <c r="EG17" s="86"/>
      <c r="EH17" s="86"/>
      <c r="EI17" s="86"/>
      <c r="EJ17" s="86"/>
      <c r="EK17" s="86"/>
      <c r="EL17" s="86"/>
      <c r="EM17" s="86"/>
      <c r="EN17" s="86"/>
      <c r="EO17" s="86"/>
      <c r="EP17" s="86"/>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6"/>
      <c r="FO17" s="86"/>
      <c r="FP17" s="86"/>
      <c r="FQ17" s="86"/>
      <c r="FR17" s="86"/>
      <c r="FS17" s="86"/>
      <c r="FT17" s="86"/>
      <c r="FU17" s="86"/>
      <c r="FV17" s="86"/>
      <c r="FW17" s="86"/>
      <c r="FX17" s="86"/>
      <c r="FY17" s="86"/>
      <c r="FZ17" s="86"/>
      <c r="GA17" s="86"/>
      <c r="GB17" s="86"/>
      <c r="GC17" s="86"/>
      <c r="GD17" s="86"/>
      <c r="GE17" s="86"/>
      <c r="GF17" s="86"/>
      <c r="GG17" s="86"/>
      <c r="GH17" s="86"/>
      <c r="GI17" s="86"/>
      <c r="GJ17" s="86"/>
      <c r="GK17" s="86"/>
      <c r="GL17" s="86"/>
      <c r="GM17" s="86"/>
      <c r="GN17" s="86"/>
      <c r="GO17" s="86"/>
      <c r="GP17" s="86"/>
      <c r="GQ17" s="86"/>
      <c r="GR17" s="86"/>
      <c r="GS17" s="86"/>
      <c r="GT17" s="86"/>
      <c r="GU17" s="86"/>
      <c r="GV17" s="86"/>
      <c r="GW17" s="86"/>
      <c r="GX17" s="86"/>
      <c r="GY17" s="86"/>
      <c r="GZ17" s="86"/>
      <c r="HA17" s="86"/>
      <c r="HB17" s="86"/>
      <c r="HC17" s="86"/>
      <c r="HD17" s="86"/>
      <c r="HE17" s="86"/>
      <c r="HF17" s="86"/>
      <c r="HG17" s="86"/>
      <c r="HH17" s="86"/>
      <c r="HI17" s="86"/>
      <c r="HJ17" s="86"/>
      <c r="HK17" s="86"/>
      <c r="HL17" s="86"/>
      <c r="HM17" s="86"/>
      <c r="HN17" s="86"/>
      <c r="HO17" s="86"/>
      <c r="HP17" s="86"/>
      <c r="HQ17" s="86"/>
      <c r="HR17" s="86"/>
      <c r="HS17" s="86"/>
      <c r="HT17" s="86"/>
      <c r="HU17" s="86"/>
      <c r="HV17" s="86"/>
      <c r="HW17" s="86"/>
      <c r="HX17" s="86"/>
      <c r="HY17" s="86"/>
      <c r="HZ17" s="86"/>
      <c r="IA17" s="86"/>
      <c r="IB17" s="86"/>
      <c r="IC17" s="86"/>
      <c r="ID17" s="86"/>
      <c r="IE17" s="86"/>
      <c r="IF17" s="86"/>
      <c r="IG17" s="86"/>
      <c r="IH17" s="86"/>
      <c r="II17" s="86"/>
      <c r="IJ17" s="86"/>
      <c r="IK17" s="86"/>
      <c r="IL17" s="86"/>
      <c r="IM17" s="86"/>
      <c r="IN17" s="86"/>
      <c r="IO17" s="86"/>
      <c r="IP17" s="86"/>
      <c r="IQ17" s="86"/>
      <c r="IR17" s="86"/>
      <c r="IS17" s="86"/>
    </row>
    <row r="18" spans="1:253" s="64" customFormat="1" ht="25.5" customHeight="1">
      <c r="A18" s="89" t="s">
        <v>86</v>
      </c>
      <c r="B18" s="292" t="s">
        <v>87</v>
      </c>
      <c r="C18" s="293"/>
      <c r="D18" s="293"/>
      <c r="E18" s="293"/>
      <c r="F18" s="293"/>
      <c r="G18" s="294"/>
      <c r="H18" s="287"/>
      <c r="I18" s="292"/>
      <c r="J18" s="293"/>
      <c r="K18" s="293"/>
      <c r="L18" s="294"/>
      <c r="M18" s="89"/>
      <c r="N18" s="97"/>
      <c r="O18" s="98"/>
      <c r="P18" s="291"/>
      <c r="Q18" s="99"/>
      <c r="R18" s="99"/>
      <c r="S18" s="100"/>
      <c r="T18" s="101"/>
      <c r="U18" s="99"/>
      <c r="V18" s="100"/>
      <c r="W18" s="99"/>
      <c r="X18" s="102"/>
    </row>
    <row r="19" spans="1:253" s="64" customFormat="1" ht="116.25" customHeight="1">
      <c r="A19" s="87" t="s">
        <v>88</v>
      </c>
      <c r="B19" s="295" t="s">
        <v>89</v>
      </c>
      <c r="C19" s="296"/>
      <c r="D19" s="296"/>
      <c r="E19" s="296"/>
      <c r="F19" s="296"/>
      <c r="G19" s="297"/>
      <c r="H19" s="287"/>
      <c r="I19" s="292" t="s">
        <v>90</v>
      </c>
      <c r="J19" s="293"/>
      <c r="K19" s="293"/>
      <c r="L19" s="293"/>
      <c r="M19" s="88">
        <v>1</v>
      </c>
      <c r="N19" s="103"/>
      <c r="O19" s="98"/>
      <c r="P19" s="291"/>
      <c r="Q19" s="90" t="s">
        <v>91</v>
      </c>
      <c r="R19" s="90" t="s">
        <v>92</v>
      </c>
      <c r="S19" s="94">
        <v>44666</v>
      </c>
      <c r="T19" s="95" t="s">
        <v>93</v>
      </c>
      <c r="U19" s="90" t="s">
        <v>94</v>
      </c>
      <c r="V19" s="90" t="s">
        <v>95</v>
      </c>
      <c r="W19" s="94">
        <v>44623</v>
      </c>
      <c r="X19" s="96" t="s">
        <v>96</v>
      </c>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6"/>
      <c r="FO19" s="86"/>
      <c r="FP19" s="86"/>
      <c r="FQ19" s="86"/>
      <c r="FR19" s="86"/>
      <c r="FS19" s="86"/>
      <c r="FT19" s="86"/>
      <c r="FU19" s="86"/>
      <c r="FV19" s="86"/>
      <c r="FW19" s="86"/>
      <c r="FX19" s="86"/>
      <c r="FY19" s="86"/>
      <c r="FZ19" s="86"/>
      <c r="GA19" s="86"/>
      <c r="GB19" s="86"/>
      <c r="GC19" s="86"/>
      <c r="GD19" s="86"/>
      <c r="GE19" s="86"/>
      <c r="GF19" s="86"/>
      <c r="GG19" s="86"/>
      <c r="GH19" s="86"/>
      <c r="GI19" s="86"/>
      <c r="GJ19" s="86"/>
      <c r="GK19" s="86"/>
      <c r="GL19" s="86"/>
      <c r="GM19" s="86"/>
      <c r="GN19" s="86"/>
      <c r="GO19" s="86"/>
      <c r="GP19" s="86"/>
      <c r="GQ19" s="86"/>
      <c r="GR19" s="86"/>
      <c r="GS19" s="86"/>
      <c r="GT19" s="86"/>
      <c r="GU19" s="86"/>
      <c r="GV19" s="86"/>
      <c r="GW19" s="86"/>
      <c r="GX19" s="86"/>
      <c r="GY19" s="86"/>
      <c r="GZ19" s="86"/>
      <c r="HA19" s="86"/>
      <c r="HB19" s="86"/>
      <c r="HC19" s="86"/>
      <c r="HD19" s="86"/>
      <c r="HE19" s="86"/>
      <c r="HF19" s="86"/>
      <c r="HG19" s="86"/>
      <c r="HH19" s="86"/>
      <c r="HI19" s="86"/>
      <c r="HJ19" s="86"/>
      <c r="HK19" s="86"/>
      <c r="HL19" s="86"/>
      <c r="HM19" s="86"/>
      <c r="HN19" s="86"/>
      <c r="HO19" s="86"/>
      <c r="HP19" s="86"/>
      <c r="HQ19" s="86"/>
      <c r="HR19" s="86"/>
      <c r="HS19" s="86"/>
      <c r="HT19" s="86"/>
      <c r="HU19" s="86"/>
      <c r="HV19" s="86"/>
      <c r="HW19" s="86"/>
      <c r="HX19" s="86"/>
      <c r="HY19" s="86"/>
      <c r="HZ19" s="86"/>
      <c r="IA19" s="86"/>
      <c r="IB19" s="86"/>
      <c r="IC19" s="86"/>
      <c r="ID19" s="86"/>
      <c r="IE19" s="86"/>
      <c r="IF19" s="86"/>
      <c r="IG19" s="86"/>
      <c r="IH19" s="86"/>
      <c r="II19" s="86"/>
      <c r="IJ19" s="86"/>
      <c r="IK19" s="86"/>
      <c r="IL19" s="86"/>
      <c r="IM19" s="86"/>
      <c r="IN19" s="86"/>
      <c r="IO19" s="86"/>
      <c r="IP19" s="86"/>
      <c r="IQ19" s="86"/>
      <c r="IR19" s="86"/>
      <c r="IS19" s="86"/>
    </row>
    <row r="20" spans="1:253" s="64" customFormat="1" ht="27" customHeight="1">
      <c r="A20" s="87" t="s">
        <v>97</v>
      </c>
      <c r="B20" s="295" t="s">
        <v>98</v>
      </c>
      <c r="C20" s="296"/>
      <c r="D20" s="296"/>
      <c r="E20" s="296"/>
      <c r="F20" s="296"/>
      <c r="G20" s="297"/>
      <c r="H20" s="287"/>
      <c r="I20" s="292"/>
      <c r="J20" s="293"/>
      <c r="K20" s="293"/>
      <c r="L20" s="293"/>
      <c r="M20" s="88"/>
      <c r="N20" s="103"/>
      <c r="O20" s="98"/>
      <c r="P20" s="291"/>
      <c r="Q20" s="90"/>
      <c r="R20" s="90"/>
      <c r="S20" s="90"/>
      <c r="T20" s="95"/>
      <c r="U20" s="90"/>
      <c r="V20" s="90"/>
      <c r="W20" s="90"/>
      <c r="X20" s="9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6"/>
      <c r="FO20" s="86"/>
      <c r="FP20" s="86"/>
      <c r="FQ20" s="86"/>
      <c r="FR20" s="86"/>
      <c r="FS20" s="86"/>
      <c r="FT20" s="86"/>
      <c r="FU20" s="86"/>
      <c r="FV20" s="86"/>
      <c r="FW20" s="86"/>
      <c r="FX20" s="86"/>
      <c r="FY20" s="86"/>
      <c r="FZ20" s="86"/>
      <c r="GA20" s="86"/>
      <c r="GB20" s="86"/>
      <c r="GC20" s="86"/>
      <c r="GD20" s="86"/>
      <c r="GE20" s="86"/>
      <c r="GF20" s="86"/>
      <c r="GG20" s="86"/>
      <c r="GH20" s="86"/>
      <c r="GI20" s="86"/>
      <c r="GJ20" s="86"/>
      <c r="GK20" s="86"/>
      <c r="GL20" s="86"/>
      <c r="GM20" s="86"/>
      <c r="GN20" s="86"/>
      <c r="GO20" s="86"/>
      <c r="GP20" s="86"/>
      <c r="GQ20" s="86"/>
      <c r="GR20" s="86"/>
      <c r="GS20" s="86"/>
      <c r="GT20" s="86"/>
      <c r="GU20" s="86"/>
      <c r="GV20" s="86"/>
      <c r="GW20" s="86"/>
      <c r="GX20" s="86"/>
      <c r="GY20" s="86"/>
      <c r="GZ20" s="86"/>
      <c r="HA20" s="86"/>
      <c r="HB20" s="86"/>
      <c r="HC20" s="86"/>
      <c r="HD20" s="86"/>
      <c r="HE20" s="86"/>
      <c r="HF20" s="86"/>
      <c r="HG20" s="86"/>
      <c r="HH20" s="86"/>
      <c r="HI20" s="86"/>
      <c r="HJ20" s="86"/>
      <c r="HK20" s="86"/>
      <c r="HL20" s="86"/>
      <c r="HM20" s="86"/>
      <c r="HN20" s="86"/>
      <c r="HO20" s="86"/>
      <c r="HP20" s="86"/>
      <c r="HQ20" s="86"/>
      <c r="HR20" s="86"/>
      <c r="HS20" s="86"/>
      <c r="HT20" s="86"/>
      <c r="HU20" s="86"/>
      <c r="HV20" s="86"/>
      <c r="HW20" s="86"/>
      <c r="HX20" s="86"/>
      <c r="HY20" s="86"/>
      <c r="HZ20" s="86"/>
      <c r="IA20" s="86"/>
      <c r="IB20" s="86"/>
      <c r="IC20" s="86"/>
      <c r="ID20" s="86"/>
      <c r="IE20" s="86"/>
      <c r="IF20" s="86"/>
      <c r="IG20" s="86"/>
      <c r="IH20" s="86"/>
      <c r="II20" s="86"/>
      <c r="IJ20" s="86"/>
      <c r="IK20" s="86"/>
      <c r="IL20" s="86"/>
      <c r="IM20" s="86"/>
      <c r="IN20" s="86"/>
      <c r="IO20" s="86"/>
      <c r="IP20" s="86"/>
      <c r="IQ20" s="86"/>
      <c r="IR20" s="86"/>
      <c r="IS20" s="86"/>
    </row>
    <row r="21" spans="1:253" s="64" customFormat="1" ht="30.75" customHeight="1">
      <c r="A21" s="104" t="s">
        <v>99</v>
      </c>
      <c r="B21" s="295" t="s">
        <v>100</v>
      </c>
      <c r="C21" s="296"/>
      <c r="D21" s="296"/>
      <c r="E21" s="296"/>
      <c r="F21" s="296"/>
      <c r="G21" s="297"/>
      <c r="H21" s="287"/>
      <c r="I21" s="292"/>
      <c r="J21" s="298"/>
      <c r="K21" s="298"/>
      <c r="L21" s="299"/>
      <c r="M21" s="88"/>
      <c r="N21" s="89"/>
      <c r="O21" s="90"/>
      <c r="P21" s="291"/>
      <c r="Q21" s="90"/>
      <c r="R21" s="90"/>
      <c r="S21" s="90"/>
      <c r="T21" s="83"/>
      <c r="U21" s="80"/>
      <c r="V21" s="82"/>
      <c r="W21" s="80"/>
      <c r="X21" s="84"/>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6"/>
      <c r="FO21" s="86"/>
      <c r="FP21" s="86"/>
      <c r="FQ21" s="86"/>
      <c r="FR21" s="86"/>
      <c r="FS21" s="86"/>
      <c r="FT21" s="86"/>
      <c r="FU21" s="86"/>
      <c r="FV21" s="86"/>
      <c r="FW21" s="86"/>
      <c r="FX21" s="86"/>
      <c r="FY21" s="86"/>
      <c r="FZ21" s="86"/>
      <c r="GA21" s="86"/>
      <c r="GB21" s="86"/>
      <c r="GC21" s="86"/>
      <c r="GD21" s="86"/>
      <c r="GE21" s="86"/>
      <c r="GF21" s="86"/>
      <c r="GG21" s="86"/>
      <c r="GH21" s="86"/>
      <c r="GI21" s="86"/>
      <c r="GJ21" s="86"/>
      <c r="GK21" s="86"/>
      <c r="GL21" s="86"/>
      <c r="GM21" s="86"/>
      <c r="GN21" s="86"/>
      <c r="GO21" s="86"/>
      <c r="GP21" s="86"/>
      <c r="GQ21" s="86"/>
      <c r="GR21" s="86"/>
      <c r="GS21" s="86"/>
      <c r="GT21" s="86"/>
      <c r="GU21" s="86"/>
      <c r="GV21" s="86"/>
      <c r="GW21" s="86"/>
      <c r="GX21" s="86"/>
      <c r="GY21" s="86"/>
      <c r="GZ21" s="86"/>
      <c r="HA21" s="86"/>
      <c r="HB21" s="86"/>
      <c r="HC21" s="86"/>
      <c r="HD21" s="86"/>
      <c r="HE21" s="86"/>
      <c r="HF21" s="86"/>
      <c r="HG21" s="86"/>
      <c r="HH21" s="86"/>
      <c r="HI21" s="86"/>
      <c r="HJ21" s="86"/>
      <c r="HK21" s="86"/>
      <c r="HL21" s="86"/>
      <c r="HM21" s="86"/>
      <c r="HN21" s="86"/>
      <c r="HO21" s="86"/>
      <c r="HP21" s="86"/>
      <c r="HQ21" s="86"/>
      <c r="HR21" s="86"/>
      <c r="HS21" s="86"/>
      <c r="HT21" s="86"/>
      <c r="HU21" s="86"/>
      <c r="HV21" s="86"/>
      <c r="HW21" s="86"/>
      <c r="HX21" s="86"/>
      <c r="HY21" s="86"/>
      <c r="HZ21" s="86"/>
      <c r="IA21" s="86"/>
      <c r="IB21" s="86"/>
      <c r="IC21" s="86"/>
      <c r="ID21" s="86"/>
      <c r="IE21" s="86"/>
      <c r="IF21" s="86"/>
      <c r="IG21" s="86"/>
      <c r="IH21" s="86"/>
      <c r="II21" s="86"/>
      <c r="IJ21" s="86"/>
      <c r="IK21" s="86"/>
      <c r="IL21" s="86"/>
      <c r="IM21" s="86"/>
      <c r="IN21" s="86"/>
      <c r="IO21" s="86"/>
      <c r="IP21" s="86"/>
      <c r="IQ21" s="86"/>
      <c r="IR21" s="86"/>
      <c r="IS21" s="86"/>
    </row>
    <row r="22" spans="1:253" s="64" customFormat="1" ht="68.25" customHeight="1" thickBot="1">
      <c r="A22" s="87" t="s">
        <v>101</v>
      </c>
      <c r="B22" s="292" t="s">
        <v>102</v>
      </c>
      <c r="C22" s="293"/>
      <c r="D22" s="293"/>
      <c r="E22" s="293"/>
      <c r="F22" s="293"/>
      <c r="G22" s="294"/>
      <c r="H22" s="288"/>
      <c r="I22" s="292"/>
      <c r="J22" s="293"/>
      <c r="K22" s="293"/>
      <c r="L22" s="293"/>
      <c r="M22" s="88"/>
      <c r="N22" s="89"/>
      <c r="O22" s="105"/>
      <c r="P22" s="291"/>
      <c r="Q22" s="90"/>
      <c r="R22" s="90"/>
      <c r="S22" s="90"/>
      <c r="T22" s="106"/>
      <c r="U22" s="107"/>
      <c r="V22" s="108"/>
      <c r="W22" s="107"/>
      <c r="X22" s="109"/>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c r="IN22" s="86"/>
      <c r="IO22" s="86"/>
      <c r="IP22" s="86"/>
      <c r="IQ22" s="86"/>
      <c r="IR22" s="86"/>
      <c r="IS22" s="86"/>
    </row>
    <row r="23" spans="1:253" s="64" customFormat="1" ht="13.9" thickBot="1">
      <c r="A23" s="110"/>
      <c r="B23" s="304"/>
      <c r="C23" s="305"/>
      <c r="D23" s="305"/>
      <c r="E23" s="305"/>
      <c r="F23" s="305"/>
      <c r="G23" s="306"/>
      <c r="H23" s="111"/>
      <c r="I23" s="304"/>
      <c r="J23" s="305"/>
      <c r="K23" s="305"/>
      <c r="L23" s="305"/>
      <c r="M23" s="112">
        <f>SUM(M15:M22)</f>
        <v>1</v>
      </c>
      <c r="N23" s="113">
        <f>SUM(N15:N22)</f>
        <v>0</v>
      </c>
      <c r="O23" s="114"/>
      <c r="P23" s="291"/>
      <c r="Q23" s="114"/>
      <c r="R23" s="114"/>
      <c r="S23" s="114"/>
      <c r="T23" s="115"/>
      <c r="U23" s="278"/>
      <c r="V23" s="278"/>
      <c r="W23" s="278"/>
      <c r="X23" s="278"/>
      <c r="Y23" s="278"/>
      <c r="Z23" s="278"/>
      <c r="AA23" s="278"/>
      <c r="AB23" s="278"/>
      <c r="AC23" s="278"/>
      <c r="AD23" s="278"/>
      <c r="AE23" s="86"/>
      <c r="AF23" s="278"/>
      <c r="AG23" s="278"/>
      <c r="AH23" s="278"/>
      <c r="AI23" s="278"/>
      <c r="AJ23" s="278"/>
      <c r="AK23" s="278"/>
      <c r="AL23" s="278"/>
      <c r="AM23" s="278"/>
      <c r="AN23" s="278"/>
      <c r="AO23" s="278"/>
      <c r="AP23" s="86"/>
      <c r="AQ23" s="278"/>
      <c r="AR23" s="278"/>
      <c r="AS23" s="278"/>
      <c r="AT23" s="278"/>
      <c r="AU23" s="278"/>
      <c r="AV23" s="278"/>
      <c r="AW23" s="278"/>
      <c r="AX23" s="278"/>
      <c r="AY23" s="278"/>
      <c r="AZ23" s="278"/>
      <c r="BA23" s="86"/>
      <c r="BB23" s="278"/>
      <c r="BC23" s="278"/>
      <c r="BD23" s="278"/>
      <c r="BE23" s="278"/>
      <c r="BF23" s="278"/>
      <c r="BG23" s="278"/>
      <c r="BH23" s="278"/>
      <c r="BI23" s="278"/>
      <c r="BJ23" s="278"/>
      <c r="BK23" s="278"/>
      <c r="BL23" s="86"/>
      <c r="BM23" s="278"/>
      <c r="BN23" s="278"/>
      <c r="BO23" s="278"/>
      <c r="BP23" s="278"/>
      <c r="BQ23" s="278"/>
      <c r="BR23" s="278"/>
      <c r="BS23" s="278"/>
      <c r="BT23" s="278"/>
      <c r="BU23" s="278"/>
      <c r="BV23" s="278"/>
      <c r="BW23" s="86"/>
      <c r="BX23" s="278"/>
      <c r="BY23" s="278"/>
      <c r="BZ23" s="278"/>
      <c r="CA23" s="278"/>
      <c r="CB23" s="278"/>
      <c r="CC23" s="278"/>
      <c r="CD23" s="278"/>
      <c r="CE23" s="278"/>
      <c r="CF23" s="278"/>
      <c r="CG23" s="278"/>
      <c r="CH23" s="86"/>
      <c r="CI23" s="278"/>
      <c r="CJ23" s="278"/>
      <c r="CK23" s="278"/>
      <c r="CL23" s="278"/>
      <c r="CM23" s="278"/>
      <c r="CN23" s="278"/>
      <c r="CO23" s="278"/>
      <c r="CP23" s="278"/>
      <c r="CQ23" s="278"/>
      <c r="CR23" s="278"/>
      <c r="CS23" s="86"/>
      <c r="CT23" s="278"/>
      <c r="CU23" s="278"/>
      <c r="CV23" s="278"/>
      <c r="CW23" s="278"/>
      <c r="CX23" s="278"/>
      <c r="CY23" s="278"/>
      <c r="CZ23" s="278"/>
      <c r="DA23" s="278"/>
      <c r="DB23" s="278"/>
      <c r="DC23" s="278"/>
      <c r="DD23" s="86"/>
      <c r="DE23" s="278"/>
      <c r="DF23" s="278"/>
      <c r="DG23" s="278"/>
      <c r="DH23" s="278"/>
      <c r="DI23" s="278"/>
      <c r="DJ23" s="278"/>
      <c r="DK23" s="278"/>
      <c r="DL23" s="278"/>
      <c r="DM23" s="278"/>
      <c r="DN23" s="278"/>
      <c r="DO23" s="86"/>
      <c r="DP23" s="278"/>
      <c r="DQ23" s="278"/>
      <c r="DR23" s="278"/>
      <c r="DS23" s="278"/>
      <c r="DT23" s="278"/>
      <c r="DU23" s="278"/>
      <c r="DV23" s="278"/>
      <c r="DW23" s="278"/>
      <c r="DX23" s="278"/>
      <c r="DY23" s="278"/>
      <c r="DZ23" s="86"/>
      <c r="EA23" s="278"/>
      <c r="EB23" s="278"/>
      <c r="EC23" s="278"/>
      <c r="ED23" s="278"/>
      <c r="EE23" s="278"/>
      <c r="EF23" s="278"/>
      <c r="EG23" s="278"/>
      <c r="EH23" s="278"/>
      <c r="EI23" s="278"/>
      <c r="EJ23" s="278"/>
      <c r="EK23" s="86"/>
      <c r="EL23" s="278"/>
      <c r="EM23" s="278"/>
      <c r="EN23" s="278"/>
      <c r="EO23" s="278"/>
      <c r="EP23" s="278"/>
      <c r="EQ23" s="278"/>
      <c r="ER23" s="278"/>
      <c r="ES23" s="278"/>
      <c r="ET23" s="278"/>
      <c r="EU23" s="278"/>
      <c r="EV23" s="86"/>
      <c r="EW23" s="278"/>
      <c r="EX23" s="278"/>
      <c r="EY23" s="278"/>
      <c r="EZ23" s="278"/>
      <c r="FA23" s="278"/>
      <c r="FB23" s="278"/>
      <c r="FC23" s="278"/>
      <c r="FD23" s="278"/>
      <c r="FE23" s="278"/>
      <c r="FF23" s="278"/>
      <c r="FG23" s="86"/>
      <c r="FH23" s="278"/>
      <c r="FI23" s="278"/>
      <c r="FJ23" s="278"/>
      <c r="FK23" s="278"/>
      <c r="FL23" s="278"/>
      <c r="FM23" s="278"/>
      <c r="FN23" s="278"/>
      <c r="FO23" s="278"/>
      <c r="FP23" s="278"/>
      <c r="FQ23" s="278"/>
      <c r="FR23" s="86"/>
      <c r="FS23" s="278"/>
      <c r="FT23" s="278"/>
      <c r="FU23" s="278"/>
      <c r="FV23" s="278"/>
      <c r="FW23" s="278"/>
      <c r="FX23" s="278"/>
      <c r="FY23" s="278"/>
      <c r="FZ23" s="278"/>
      <c r="GA23" s="278"/>
      <c r="GB23" s="278"/>
      <c r="GC23" s="86"/>
      <c r="GD23" s="278"/>
      <c r="GE23" s="278"/>
      <c r="GF23" s="278"/>
      <c r="GG23" s="278"/>
      <c r="GH23" s="278"/>
      <c r="GI23" s="278"/>
      <c r="GJ23" s="278"/>
      <c r="GK23" s="278"/>
      <c r="GL23" s="278"/>
      <c r="GM23" s="278"/>
      <c r="GN23" s="86"/>
      <c r="GO23" s="278"/>
      <c r="GP23" s="278"/>
      <c r="GQ23" s="278"/>
      <c r="GR23" s="278"/>
      <c r="GS23" s="278"/>
      <c r="GT23" s="278"/>
      <c r="GU23" s="278"/>
      <c r="GV23" s="278"/>
      <c r="GW23" s="278"/>
      <c r="GX23" s="278"/>
      <c r="GY23" s="86"/>
      <c r="GZ23" s="278"/>
      <c r="HA23" s="278"/>
      <c r="HB23" s="278"/>
      <c r="HC23" s="278"/>
      <c r="HD23" s="278"/>
      <c r="HE23" s="278"/>
      <c r="HF23" s="278"/>
      <c r="HG23" s="278"/>
      <c r="HH23" s="278"/>
      <c r="HI23" s="278"/>
      <c r="HJ23" s="86"/>
      <c r="HK23" s="278"/>
      <c r="HL23" s="278"/>
      <c r="HM23" s="278"/>
      <c r="HN23" s="278"/>
      <c r="HO23" s="278"/>
      <c r="HP23" s="278"/>
      <c r="HQ23" s="278"/>
      <c r="HR23" s="278"/>
      <c r="HS23" s="278"/>
      <c r="HT23" s="278"/>
      <c r="HU23" s="86"/>
      <c r="HV23" s="278"/>
      <c r="HW23" s="278"/>
      <c r="HX23" s="278"/>
      <c r="HY23" s="278"/>
      <c r="HZ23" s="278"/>
      <c r="IA23" s="278"/>
      <c r="IB23" s="278"/>
      <c r="IC23" s="278"/>
      <c r="ID23" s="278"/>
      <c r="IE23" s="278"/>
      <c r="IF23" s="86"/>
      <c r="IG23" s="278"/>
      <c r="IH23" s="278"/>
      <c r="II23" s="278"/>
      <c r="IJ23" s="278"/>
      <c r="IK23" s="278"/>
      <c r="IL23" s="278"/>
      <c r="IM23" s="278"/>
      <c r="IN23" s="278"/>
      <c r="IO23" s="278"/>
      <c r="IP23" s="278"/>
      <c r="IQ23" s="86"/>
      <c r="IR23" s="278"/>
      <c r="IS23" s="278"/>
    </row>
    <row r="24" spans="1:253" s="64" customFormat="1" ht="13.5" customHeight="1" thickBot="1">
      <c r="A24" s="307" t="s">
        <v>103</v>
      </c>
      <c r="B24" s="308"/>
      <c r="C24" s="308"/>
      <c r="D24" s="308"/>
      <c r="E24" s="308"/>
      <c r="F24" s="308"/>
      <c r="G24" s="308"/>
      <c r="H24" s="308"/>
      <c r="I24" s="308"/>
      <c r="J24" s="308"/>
      <c r="K24" s="308"/>
      <c r="L24" s="308"/>
      <c r="M24" s="308"/>
      <c r="N24" s="308"/>
      <c r="O24" s="116"/>
      <c r="P24" s="117"/>
      <c r="Q24" s="116"/>
      <c r="R24" s="116"/>
      <c r="S24" s="118"/>
      <c r="T24" s="119"/>
      <c r="U24" s="119"/>
      <c r="V24" s="119"/>
      <c r="W24" s="119"/>
      <c r="X24" s="119"/>
    </row>
    <row r="25" spans="1:253" s="64" customFormat="1" ht="22.5" customHeight="1">
      <c r="A25" s="120" t="s">
        <v>104</v>
      </c>
      <c r="B25" s="289" t="s">
        <v>105</v>
      </c>
      <c r="C25" s="290"/>
      <c r="D25" s="290"/>
      <c r="E25" s="290"/>
      <c r="F25" s="290"/>
      <c r="G25" s="309"/>
      <c r="H25" s="310" t="s">
        <v>106</v>
      </c>
      <c r="I25" s="289"/>
      <c r="J25" s="290"/>
      <c r="K25" s="290"/>
      <c r="L25" s="290"/>
      <c r="M25" s="97"/>
      <c r="N25" s="97"/>
      <c r="O25" s="122"/>
      <c r="P25" s="291" t="s">
        <v>17</v>
      </c>
      <c r="Q25" s="122"/>
      <c r="R25" s="122"/>
      <c r="S25" s="122"/>
      <c r="T25" s="81"/>
      <c r="U25" s="81"/>
      <c r="V25" s="81"/>
      <c r="W25" s="81"/>
      <c r="X25" s="81"/>
    </row>
    <row r="26" spans="1:253" s="64" customFormat="1" ht="20.25" customHeight="1">
      <c r="A26" s="88" t="s">
        <v>107</v>
      </c>
      <c r="B26" s="292" t="s">
        <v>108</v>
      </c>
      <c r="C26" s="293"/>
      <c r="D26" s="293"/>
      <c r="E26" s="293"/>
      <c r="F26" s="293"/>
      <c r="G26" s="294"/>
      <c r="H26" s="311"/>
      <c r="I26" s="292"/>
      <c r="J26" s="293"/>
      <c r="K26" s="293"/>
      <c r="L26" s="294"/>
      <c r="M26" s="97"/>
      <c r="N26" s="97"/>
      <c r="O26" s="123"/>
      <c r="P26" s="291"/>
      <c r="Q26" s="123"/>
      <c r="R26" s="123"/>
      <c r="S26" s="123"/>
      <c r="T26" s="81"/>
      <c r="U26" s="81"/>
      <c r="V26" s="81"/>
      <c r="W26" s="81"/>
      <c r="X26" s="81"/>
    </row>
    <row r="27" spans="1:253" s="64" customFormat="1" ht="29.25" customHeight="1">
      <c r="A27" s="88" t="s">
        <v>109</v>
      </c>
      <c r="B27" s="292" t="s">
        <v>110</v>
      </c>
      <c r="C27" s="293"/>
      <c r="D27" s="293"/>
      <c r="E27" s="293"/>
      <c r="F27" s="293"/>
      <c r="G27" s="294"/>
      <c r="H27" s="311"/>
      <c r="I27" s="292"/>
      <c r="J27" s="293"/>
      <c r="K27" s="293"/>
      <c r="L27" s="294"/>
      <c r="M27" s="97"/>
      <c r="N27" s="97"/>
      <c r="O27" s="123"/>
      <c r="P27" s="291"/>
      <c r="Q27" s="124"/>
      <c r="R27" s="124"/>
      <c r="S27" s="125"/>
      <c r="T27" s="89"/>
      <c r="U27" s="126"/>
      <c r="V27" s="126"/>
      <c r="W27" s="126"/>
      <c r="X27" s="126"/>
    </row>
    <row r="28" spans="1:253" s="64" customFormat="1" ht="37.5" customHeight="1">
      <c r="A28" s="88" t="s">
        <v>86</v>
      </c>
      <c r="B28" s="292" t="s">
        <v>87</v>
      </c>
      <c r="C28" s="293"/>
      <c r="D28" s="293"/>
      <c r="E28" s="293"/>
      <c r="F28" s="293"/>
      <c r="G28" s="294"/>
      <c r="H28" s="311"/>
      <c r="I28" s="292"/>
      <c r="J28" s="293"/>
      <c r="K28" s="293"/>
      <c r="L28" s="294"/>
      <c r="M28" s="97"/>
      <c r="N28" s="97"/>
      <c r="O28" s="123"/>
      <c r="P28" s="291"/>
      <c r="Q28" s="99"/>
      <c r="R28" s="99"/>
      <c r="S28" s="100"/>
      <c r="T28" s="89"/>
      <c r="U28" s="126"/>
      <c r="V28" s="126"/>
      <c r="W28" s="126"/>
      <c r="X28" s="126"/>
    </row>
    <row r="29" spans="1:253" s="64" customFormat="1" ht="103.5" customHeight="1">
      <c r="A29" s="127" t="s">
        <v>111</v>
      </c>
      <c r="B29" s="292" t="s">
        <v>112</v>
      </c>
      <c r="C29" s="293"/>
      <c r="D29" s="293"/>
      <c r="E29" s="293"/>
      <c r="F29" s="293"/>
      <c r="G29" s="294"/>
      <c r="H29" s="311"/>
      <c r="I29" s="292" t="s">
        <v>113</v>
      </c>
      <c r="J29" s="293"/>
      <c r="K29" s="293"/>
      <c r="L29" s="294"/>
      <c r="M29" s="97">
        <v>1</v>
      </c>
      <c r="N29" s="97"/>
      <c r="O29" s="123"/>
      <c r="P29" s="291"/>
      <c r="Q29" s="124" t="s">
        <v>114</v>
      </c>
      <c r="R29" s="124" t="s">
        <v>95</v>
      </c>
      <c r="S29" s="237">
        <v>44624</v>
      </c>
      <c r="T29" s="128" t="s">
        <v>115</v>
      </c>
      <c r="U29" s="129" t="s">
        <v>116</v>
      </c>
      <c r="V29" s="89" t="s">
        <v>17</v>
      </c>
      <c r="W29" s="237">
        <v>44620</v>
      </c>
      <c r="X29" s="236" t="s">
        <v>117</v>
      </c>
    </row>
    <row r="30" spans="1:253" s="64" customFormat="1">
      <c r="A30" s="127" t="s">
        <v>118</v>
      </c>
      <c r="B30" s="292" t="s">
        <v>119</v>
      </c>
      <c r="C30" s="293"/>
      <c r="D30" s="293"/>
      <c r="E30" s="293"/>
      <c r="F30" s="293"/>
      <c r="G30" s="294"/>
      <c r="H30" s="311"/>
      <c r="I30" s="292"/>
      <c r="J30" s="293"/>
      <c r="K30" s="293"/>
      <c r="L30" s="294"/>
      <c r="M30" s="97"/>
      <c r="N30" s="97"/>
      <c r="O30" s="123"/>
      <c r="P30" s="291"/>
      <c r="Q30" s="124"/>
      <c r="R30" s="124"/>
      <c r="S30" s="237"/>
      <c r="T30" s="235"/>
      <c r="U30" s="236"/>
      <c r="V30" s="89"/>
      <c r="W30" s="238"/>
      <c r="X30" s="236"/>
    </row>
    <row r="31" spans="1:253" s="64" customFormat="1" ht="79.150000000000006">
      <c r="A31" s="127" t="s">
        <v>118</v>
      </c>
      <c r="B31" s="292" t="s">
        <v>120</v>
      </c>
      <c r="C31" s="293"/>
      <c r="D31" s="293"/>
      <c r="E31" s="293"/>
      <c r="F31" s="293"/>
      <c r="G31" s="294"/>
      <c r="H31" s="311"/>
      <c r="I31" s="292" t="s">
        <v>121</v>
      </c>
      <c r="J31" s="293"/>
      <c r="K31" s="293"/>
      <c r="L31" s="294"/>
      <c r="M31" s="97"/>
      <c r="N31" s="97"/>
      <c r="O31" s="123"/>
      <c r="P31" s="291"/>
      <c r="Q31" s="124" t="s">
        <v>122</v>
      </c>
      <c r="R31" s="124" t="s">
        <v>95</v>
      </c>
      <c r="S31" s="237">
        <v>44626</v>
      </c>
      <c r="T31" s="235" t="s">
        <v>123</v>
      </c>
      <c r="U31" s="236" t="s">
        <v>124</v>
      </c>
      <c r="V31" s="89" t="s">
        <v>17</v>
      </c>
      <c r="W31" s="238">
        <v>44632</v>
      </c>
      <c r="X31" s="236" t="s">
        <v>125</v>
      </c>
    </row>
    <row r="32" spans="1:253" s="64" customFormat="1">
      <c r="A32" s="127" t="s">
        <v>126</v>
      </c>
      <c r="B32" s="292" t="s">
        <v>127</v>
      </c>
      <c r="C32" s="293"/>
      <c r="D32" s="293"/>
      <c r="E32" s="293"/>
      <c r="F32" s="293"/>
      <c r="G32" s="294"/>
      <c r="H32" s="311"/>
      <c r="I32" s="292"/>
      <c r="J32" s="293"/>
      <c r="K32" s="293"/>
      <c r="L32" s="294"/>
      <c r="M32" s="97"/>
      <c r="N32" s="97"/>
      <c r="O32" s="123"/>
      <c r="P32" s="291"/>
      <c r="Q32" s="123"/>
      <c r="R32" s="123"/>
      <c r="S32" s="123"/>
      <c r="T32" s="89"/>
      <c r="U32" s="126"/>
      <c r="V32" s="126"/>
      <c r="W32" s="126"/>
      <c r="X32" s="126"/>
    </row>
    <row r="33" spans="1:24" s="64" customFormat="1">
      <c r="A33" s="127" t="s">
        <v>126</v>
      </c>
      <c r="B33" s="292" t="s">
        <v>128</v>
      </c>
      <c r="C33" s="293"/>
      <c r="D33" s="293"/>
      <c r="E33" s="293"/>
      <c r="F33" s="293"/>
      <c r="G33" s="294"/>
      <c r="H33" s="311"/>
      <c r="I33" s="292"/>
      <c r="J33" s="293"/>
      <c r="K33" s="293"/>
      <c r="L33" s="294"/>
      <c r="M33" s="97"/>
      <c r="N33" s="97"/>
      <c r="O33" s="123"/>
      <c r="P33" s="291"/>
      <c r="Q33" s="123"/>
      <c r="R33" s="123"/>
      <c r="S33" s="123"/>
      <c r="T33" s="89"/>
      <c r="U33" s="126"/>
      <c r="V33" s="126"/>
      <c r="W33" s="126"/>
      <c r="X33" s="126"/>
    </row>
    <row r="34" spans="1:24" s="64" customFormat="1">
      <c r="A34" s="127" t="s">
        <v>126</v>
      </c>
      <c r="B34" s="292" t="s">
        <v>129</v>
      </c>
      <c r="C34" s="293"/>
      <c r="D34" s="293"/>
      <c r="E34" s="293"/>
      <c r="F34" s="293"/>
      <c r="G34" s="294"/>
      <c r="H34" s="311"/>
      <c r="I34" s="292"/>
      <c r="J34" s="293"/>
      <c r="K34" s="293"/>
      <c r="L34" s="294"/>
      <c r="M34" s="97"/>
      <c r="N34" s="97"/>
      <c r="O34" s="123"/>
      <c r="P34" s="291"/>
      <c r="Q34" s="123"/>
      <c r="R34" s="123"/>
      <c r="S34" s="123"/>
      <c r="T34" s="89"/>
      <c r="U34" s="126"/>
      <c r="V34" s="126"/>
      <c r="W34" s="126"/>
      <c r="X34" s="126"/>
    </row>
    <row r="35" spans="1:24" s="64" customFormat="1">
      <c r="A35" s="127" t="s">
        <v>126</v>
      </c>
      <c r="B35" s="292" t="s">
        <v>130</v>
      </c>
      <c r="C35" s="293"/>
      <c r="D35" s="293"/>
      <c r="E35" s="293"/>
      <c r="F35" s="293"/>
      <c r="G35" s="294"/>
      <c r="H35" s="311"/>
      <c r="I35" s="292"/>
      <c r="J35" s="293"/>
      <c r="K35" s="293"/>
      <c r="L35" s="294"/>
      <c r="M35" s="79"/>
      <c r="N35" s="97"/>
      <c r="O35" s="123"/>
      <c r="P35" s="291"/>
      <c r="Q35" s="123"/>
      <c r="R35" s="123"/>
      <c r="S35" s="123"/>
      <c r="T35" s="89"/>
      <c r="U35" s="126"/>
      <c r="V35" s="126"/>
      <c r="W35" s="126"/>
      <c r="X35" s="126"/>
    </row>
    <row r="36" spans="1:24" s="64" customFormat="1" ht="13.9" thickBot="1">
      <c r="A36" s="131" t="s">
        <v>131</v>
      </c>
      <c r="B36" s="304" t="s">
        <v>132</v>
      </c>
      <c r="C36" s="305"/>
      <c r="D36" s="305"/>
      <c r="E36" s="305"/>
      <c r="F36" s="305"/>
      <c r="G36" s="306"/>
      <c r="H36" s="312"/>
      <c r="I36" s="304"/>
      <c r="J36" s="305"/>
      <c r="K36" s="305"/>
      <c r="L36" s="305"/>
      <c r="M36" s="112">
        <f>SUM(M25:M35)</f>
        <v>1</v>
      </c>
      <c r="N36" s="113">
        <v>0</v>
      </c>
      <c r="O36" s="132"/>
      <c r="P36" s="303"/>
      <c r="Q36" s="132"/>
      <c r="R36" s="132"/>
      <c r="S36" s="132"/>
      <c r="T36" s="133"/>
      <c r="U36" s="126"/>
      <c r="V36" s="126"/>
      <c r="W36" s="126"/>
      <c r="X36" s="126"/>
    </row>
    <row r="37" spans="1:24" s="64" customFormat="1" ht="13.9" thickBot="1">
      <c r="A37" s="313" t="s">
        <v>133</v>
      </c>
      <c r="B37" s="314"/>
      <c r="C37" s="314"/>
      <c r="D37" s="314"/>
      <c r="E37" s="314"/>
      <c r="F37" s="314"/>
      <c r="G37" s="314"/>
      <c r="H37" s="314"/>
      <c r="I37" s="314"/>
      <c r="J37" s="314"/>
      <c r="K37" s="314"/>
      <c r="L37" s="314"/>
      <c r="M37" s="314"/>
      <c r="N37" s="314"/>
      <c r="O37" s="71"/>
      <c r="P37" s="72"/>
      <c r="Q37" s="71"/>
      <c r="R37" s="71"/>
      <c r="S37" s="74"/>
      <c r="T37" s="74"/>
      <c r="U37" s="74"/>
      <c r="V37" s="74"/>
      <c r="W37" s="74"/>
      <c r="X37" s="74"/>
    </row>
    <row r="38" spans="1:24" s="64" customFormat="1" ht="15.75" customHeight="1" thickBot="1">
      <c r="A38" s="313" t="s">
        <v>134</v>
      </c>
      <c r="B38" s="314"/>
      <c r="C38" s="314"/>
      <c r="D38" s="314"/>
      <c r="E38" s="314"/>
      <c r="F38" s="314"/>
      <c r="G38" s="314"/>
      <c r="H38" s="314"/>
      <c r="I38" s="314"/>
      <c r="J38" s="314"/>
      <c r="K38" s="314"/>
      <c r="L38" s="314"/>
      <c r="M38" s="314"/>
      <c r="N38" s="314"/>
      <c r="O38" s="71"/>
      <c r="P38" s="72"/>
      <c r="Q38" s="71"/>
      <c r="R38" s="71"/>
      <c r="S38" s="74"/>
      <c r="T38" s="71"/>
      <c r="U38" s="74"/>
      <c r="V38" s="71"/>
      <c r="W38" s="74"/>
      <c r="X38" s="71"/>
    </row>
    <row r="39" spans="1:24" s="64" customFormat="1" ht="26.25" customHeight="1" thickBot="1">
      <c r="A39" s="315" t="s">
        <v>135</v>
      </c>
      <c r="B39" s="316"/>
      <c r="C39" s="316"/>
      <c r="D39" s="316"/>
      <c r="E39" s="316"/>
      <c r="F39" s="316"/>
      <c r="G39" s="316"/>
      <c r="H39" s="316"/>
      <c r="I39" s="316"/>
      <c r="J39" s="316"/>
      <c r="K39" s="316"/>
      <c r="L39" s="316"/>
      <c r="M39" s="316"/>
      <c r="N39" s="316"/>
      <c r="O39" s="136"/>
      <c r="P39" s="137"/>
      <c r="Q39" s="136"/>
      <c r="R39" s="136"/>
      <c r="S39" s="138"/>
      <c r="T39" s="139"/>
      <c r="U39" s="139"/>
      <c r="V39" s="139"/>
      <c r="W39" s="139"/>
      <c r="X39" s="139"/>
    </row>
    <row r="40" spans="1:24" s="143" customFormat="1" ht="43.5" customHeight="1">
      <c r="A40" s="140" t="s">
        <v>136</v>
      </c>
      <c r="B40" s="292" t="s">
        <v>137</v>
      </c>
      <c r="C40" s="293"/>
      <c r="D40" s="293"/>
      <c r="E40" s="293"/>
      <c r="F40" s="293"/>
      <c r="G40" s="294"/>
      <c r="H40" s="317" t="s">
        <v>138</v>
      </c>
      <c r="I40" s="318"/>
      <c r="J40" s="319"/>
      <c r="K40" s="319"/>
      <c r="L40" s="320"/>
      <c r="M40" s="141"/>
      <c r="N40" s="142"/>
      <c r="P40" s="357" t="s">
        <v>139</v>
      </c>
      <c r="T40" s="89"/>
      <c r="U40" s="89"/>
      <c r="V40" s="89"/>
      <c r="W40" s="89"/>
      <c r="X40" s="89"/>
    </row>
    <row r="41" spans="1:24" s="134" customFormat="1" ht="54.75" customHeight="1">
      <c r="A41" s="88" t="s">
        <v>86</v>
      </c>
      <c r="B41" s="321" t="s">
        <v>87</v>
      </c>
      <c r="C41" s="321"/>
      <c r="D41" s="321"/>
      <c r="E41" s="321"/>
      <c r="F41" s="321"/>
      <c r="G41" s="321"/>
      <c r="H41" s="311"/>
      <c r="I41" s="318"/>
      <c r="J41" s="319"/>
      <c r="K41" s="319"/>
      <c r="L41" s="320"/>
      <c r="M41" s="141"/>
      <c r="N41" s="142"/>
      <c r="O41" s="143"/>
      <c r="P41" s="291"/>
      <c r="Q41" s="143"/>
      <c r="R41" s="144"/>
      <c r="S41" s="144"/>
      <c r="T41" s="115"/>
      <c r="U41" s="115"/>
      <c r="V41" s="115"/>
      <c r="W41" s="115"/>
      <c r="X41" s="115"/>
    </row>
    <row r="42" spans="1:24" s="134" customFormat="1" ht="47.25" customHeight="1">
      <c r="A42" s="145"/>
      <c r="B42" s="321"/>
      <c r="C42" s="321"/>
      <c r="D42" s="321"/>
      <c r="E42" s="321"/>
      <c r="F42" s="321"/>
      <c r="G42" s="321"/>
      <c r="H42" s="311"/>
      <c r="I42" s="318"/>
      <c r="J42" s="319"/>
      <c r="K42" s="319"/>
      <c r="L42" s="320"/>
      <c r="M42" s="141"/>
      <c r="N42" s="142"/>
      <c r="O42" s="143"/>
      <c r="P42" s="291"/>
      <c r="Q42" s="144"/>
      <c r="R42" s="144"/>
      <c r="S42" s="144"/>
      <c r="T42" s="115"/>
      <c r="U42" s="115"/>
      <c r="V42" s="115"/>
      <c r="W42" s="115"/>
      <c r="X42" s="115"/>
    </row>
    <row r="43" spans="1:24" s="134" customFormat="1">
      <c r="A43" s="146"/>
      <c r="B43" s="147"/>
      <c r="C43" s="148"/>
      <c r="D43" s="148"/>
      <c r="E43" s="148"/>
      <c r="F43" s="148"/>
      <c r="G43" s="149"/>
      <c r="H43" s="311"/>
      <c r="I43" s="147"/>
      <c r="J43" s="148"/>
      <c r="K43" s="148"/>
      <c r="L43" s="148"/>
      <c r="M43" s="150"/>
      <c r="N43" s="151"/>
      <c r="O43" s="144"/>
      <c r="P43" s="291"/>
      <c r="Q43" s="144"/>
      <c r="R43" s="144"/>
      <c r="S43" s="144"/>
      <c r="T43" s="115"/>
      <c r="U43" s="115"/>
      <c r="V43" s="115"/>
      <c r="W43" s="115"/>
      <c r="X43" s="115"/>
    </row>
    <row r="44" spans="1:24" s="134" customFormat="1" ht="13.9" thickBot="1">
      <c r="A44" s="152"/>
      <c r="B44" s="153"/>
      <c r="C44" s="154"/>
      <c r="D44" s="154"/>
      <c r="E44" s="154"/>
      <c r="F44" s="154"/>
      <c r="G44" s="155"/>
      <c r="H44" s="312"/>
      <c r="I44" s="153"/>
      <c r="J44" s="154"/>
      <c r="K44" s="154"/>
      <c r="L44" s="154"/>
      <c r="M44" s="150"/>
      <c r="N44" s="151"/>
      <c r="O44" s="144"/>
      <c r="P44" s="358"/>
      <c r="Q44" s="144"/>
      <c r="R44" s="144"/>
      <c r="S44" s="144"/>
      <c r="T44" s="115"/>
      <c r="U44" s="115"/>
      <c r="V44" s="115"/>
      <c r="W44" s="115"/>
      <c r="X44" s="115"/>
    </row>
    <row r="45" spans="1:24" s="64" customFormat="1" ht="13.9" thickBot="1">
      <c r="A45" s="313" t="s">
        <v>140</v>
      </c>
      <c r="B45" s="314"/>
      <c r="C45" s="314"/>
      <c r="D45" s="314"/>
      <c r="E45" s="314"/>
      <c r="F45" s="314"/>
      <c r="G45" s="314"/>
      <c r="H45" s="314"/>
      <c r="I45" s="314"/>
      <c r="J45" s="314"/>
      <c r="K45" s="314"/>
      <c r="L45" s="314"/>
      <c r="M45" s="314"/>
      <c r="N45" s="314"/>
      <c r="O45" s="156"/>
      <c r="P45" s="157"/>
      <c r="Q45" s="156"/>
      <c r="R45" s="156"/>
      <c r="S45" s="158"/>
      <c r="T45" s="159"/>
      <c r="U45" s="159"/>
      <c r="V45" s="159"/>
      <c r="W45" s="159"/>
      <c r="X45" s="159"/>
    </row>
    <row r="46" spans="1:24" s="64" customFormat="1" ht="54.75" customHeight="1">
      <c r="A46" s="140" t="s">
        <v>136</v>
      </c>
      <c r="B46" s="322" t="s">
        <v>141</v>
      </c>
      <c r="C46" s="323"/>
      <c r="D46" s="323"/>
      <c r="E46" s="323"/>
      <c r="F46" s="323"/>
      <c r="G46" s="324"/>
      <c r="H46" s="310" t="s">
        <v>142</v>
      </c>
      <c r="I46" s="322"/>
      <c r="J46" s="323"/>
      <c r="K46" s="323"/>
      <c r="L46" s="324"/>
      <c r="M46" s="160"/>
      <c r="N46" s="160"/>
      <c r="O46" s="161"/>
      <c r="P46" s="325" t="s">
        <v>143</v>
      </c>
      <c r="Q46" s="161"/>
      <c r="R46" s="161"/>
      <c r="S46" s="161"/>
      <c r="T46" s="161"/>
      <c r="U46" s="161"/>
      <c r="V46" s="161"/>
      <c r="W46" s="161"/>
      <c r="X46" s="162"/>
    </row>
    <row r="47" spans="1:24" s="64" customFormat="1" ht="44.25" customHeight="1">
      <c r="A47" s="127" t="s">
        <v>144</v>
      </c>
      <c r="B47" s="292" t="s">
        <v>87</v>
      </c>
      <c r="C47" s="293"/>
      <c r="D47" s="293"/>
      <c r="E47" s="293"/>
      <c r="F47" s="293"/>
      <c r="G47" s="294"/>
      <c r="H47" s="311"/>
      <c r="I47" s="292"/>
      <c r="J47" s="293"/>
      <c r="K47" s="293"/>
      <c r="L47" s="294"/>
      <c r="M47" s="97"/>
      <c r="N47" s="97"/>
      <c r="O47" s="135"/>
      <c r="P47" s="291"/>
      <c r="Q47" s="99"/>
      <c r="R47" s="99"/>
      <c r="S47" s="100"/>
      <c r="T47" s="100"/>
      <c r="U47" s="100"/>
      <c r="V47" s="100"/>
      <c r="W47" s="100"/>
      <c r="X47" s="163"/>
    </row>
    <row r="48" spans="1:24" s="64" customFormat="1" ht="42" customHeight="1">
      <c r="A48" s="164" t="s">
        <v>145</v>
      </c>
      <c r="B48" s="292" t="s">
        <v>146</v>
      </c>
      <c r="C48" s="293"/>
      <c r="D48" s="293"/>
      <c r="E48" s="293"/>
      <c r="F48" s="293"/>
      <c r="G48" s="294"/>
      <c r="H48" s="311"/>
      <c r="I48" s="292"/>
      <c r="J48" s="293"/>
      <c r="K48" s="293"/>
      <c r="L48" s="294"/>
      <c r="M48" s="97"/>
      <c r="N48" s="97"/>
      <c r="O48" s="165"/>
      <c r="P48" s="291"/>
      <c r="Q48" s="165"/>
      <c r="R48" s="165"/>
      <c r="S48" s="166"/>
      <c r="T48" s="166"/>
      <c r="U48" s="166"/>
      <c r="V48" s="166"/>
      <c r="W48" s="166"/>
      <c r="X48" s="167"/>
    </row>
    <row r="49" spans="1:253" s="64" customFormat="1" ht="54" customHeight="1">
      <c r="A49" s="127" t="s">
        <v>147</v>
      </c>
      <c r="B49" s="292" t="s">
        <v>148</v>
      </c>
      <c r="C49" s="293"/>
      <c r="D49" s="293"/>
      <c r="E49" s="293"/>
      <c r="F49" s="293"/>
      <c r="G49" s="294"/>
      <c r="H49" s="311"/>
      <c r="I49" s="292"/>
      <c r="J49" s="293"/>
      <c r="K49" s="293"/>
      <c r="L49" s="293"/>
      <c r="M49" s="97"/>
      <c r="N49" s="97"/>
      <c r="O49" s="165"/>
      <c r="P49" s="291"/>
      <c r="Q49" s="165"/>
      <c r="R49" s="165"/>
      <c r="S49" s="166"/>
      <c r="T49" s="166"/>
      <c r="U49" s="166"/>
      <c r="V49" s="166"/>
      <c r="W49" s="166"/>
      <c r="X49" s="167"/>
    </row>
    <row r="50" spans="1:253" s="64" customFormat="1" ht="25.5" customHeight="1">
      <c r="A50" s="127" t="s">
        <v>149</v>
      </c>
      <c r="B50" s="292" t="s">
        <v>150</v>
      </c>
      <c r="C50" s="293"/>
      <c r="D50" s="293"/>
      <c r="E50" s="293"/>
      <c r="F50" s="293"/>
      <c r="G50" s="294"/>
      <c r="H50" s="311"/>
      <c r="I50" s="292"/>
      <c r="J50" s="293"/>
      <c r="K50" s="293"/>
      <c r="L50" s="293"/>
      <c r="M50" s="79"/>
      <c r="N50" s="97"/>
      <c r="O50" s="165"/>
      <c r="P50" s="291"/>
      <c r="Q50" s="99"/>
      <c r="R50" s="99"/>
      <c r="S50" s="100"/>
      <c r="T50" s="100"/>
      <c r="U50" s="100"/>
      <c r="V50" s="100"/>
      <c r="W50" s="100"/>
      <c r="X50" s="163"/>
    </row>
    <row r="51" spans="1:253" s="64" customFormat="1" ht="13.9" thickBot="1">
      <c r="A51" s="168"/>
      <c r="B51" s="327"/>
      <c r="C51" s="328"/>
      <c r="D51" s="328"/>
      <c r="E51" s="328"/>
      <c r="F51" s="328"/>
      <c r="G51" s="329"/>
      <c r="H51" s="312"/>
      <c r="I51" s="327"/>
      <c r="J51" s="328"/>
      <c r="K51" s="328"/>
      <c r="L51" s="328"/>
      <c r="M51" s="169"/>
      <c r="N51" s="170">
        <f>SUM(N46:N50)</f>
        <v>0</v>
      </c>
      <c r="O51" s="171"/>
      <c r="P51" s="326"/>
      <c r="Q51" s="171"/>
      <c r="R51" s="171"/>
      <c r="S51" s="171"/>
      <c r="T51" s="171"/>
      <c r="U51" s="171"/>
      <c r="V51" s="171"/>
      <c r="W51" s="171"/>
      <c r="X51" s="172"/>
    </row>
    <row r="52" spans="1:253" s="64" customFormat="1" ht="13.9" thickBot="1">
      <c r="A52" s="313" t="s">
        <v>151</v>
      </c>
      <c r="B52" s="314"/>
      <c r="C52" s="314"/>
      <c r="D52" s="314"/>
      <c r="E52" s="314"/>
      <c r="F52" s="314"/>
      <c r="G52" s="314"/>
      <c r="H52" s="314"/>
      <c r="I52" s="314"/>
      <c r="J52" s="314"/>
      <c r="K52" s="314"/>
      <c r="L52" s="314"/>
      <c r="M52" s="314"/>
      <c r="N52" s="314"/>
      <c r="O52" s="156"/>
      <c r="P52" s="72"/>
      <c r="Q52" s="156"/>
      <c r="R52" s="156"/>
      <c r="S52" s="158"/>
      <c r="T52" s="173"/>
      <c r="U52" s="173"/>
      <c r="V52" s="173"/>
      <c r="W52" s="173"/>
      <c r="X52" s="71"/>
    </row>
    <row r="53" spans="1:253" s="64" customFormat="1" ht="39.75" customHeight="1">
      <c r="A53" s="127" t="s">
        <v>144</v>
      </c>
      <c r="B53" s="322" t="s">
        <v>87</v>
      </c>
      <c r="C53" s="323"/>
      <c r="D53" s="323"/>
      <c r="E53" s="323"/>
      <c r="F53" s="323"/>
      <c r="G53" s="324"/>
      <c r="H53" s="286" t="s">
        <v>152</v>
      </c>
      <c r="I53" s="90"/>
      <c r="J53" s="174"/>
      <c r="K53" s="174"/>
      <c r="L53" s="175"/>
      <c r="M53" s="175"/>
      <c r="N53" s="79"/>
      <c r="O53" s="124"/>
      <c r="P53" s="137"/>
      <c r="Q53" s="124"/>
      <c r="R53" s="124"/>
      <c r="S53" s="125"/>
      <c r="T53" s="176"/>
      <c r="U53" s="176"/>
      <c r="V53" s="176"/>
      <c r="W53" s="177"/>
      <c r="X53" s="176"/>
    </row>
    <row r="54" spans="1:253" s="181" customFormat="1" ht="47.25" customHeight="1" thickBot="1">
      <c r="A54" s="230" t="s">
        <v>153</v>
      </c>
      <c r="B54" s="327" t="s">
        <v>154</v>
      </c>
      <c r="C54" s="328"/>
      <c r="D54" s="328"/>
      <c r="E54" s="328"/>
      <c r="F54" s="328"/>
      <c r="G54" s="329"/>
      <c r="H54" s="366"/>
      <c r="I54" s="231"/>
      <c r="J54" s="232"/>
      <c r="K54" s="232"/>
      <c r="L54" s="233"/>
      <c r="M54" s="81"/>
      <c r="N54" s="223"/>
      <c r="O54" s="98"/>
      <c r="P54" s="137"/>
      <c r="Q54" s="99"/>
      <c r="R54" s="99"/>
      <c r="S54" s="100"/>
      <c r="T54" s="176"/>
      <c r="U54" s="176"/>
      <c r="V54" s="176"/>
      <c r="W54" s="177"/>
      <c r="X54" s="176"/>
    </row>
    <row r="55" spans="1:253" s="361" customFormat="1" ht="15.75" customHeight="1" thickBot="1">
      <c r="A55" s="359" t="s">
        <v>155</v>
      </c>
      <c r="B55" s="360"/>
      <c r="C55" s="360"/>
      <c r="D55" s="360"/>
      <c r="E55" s="360"/>
      <c r="F55" s="360"/>
      <c r="G55" s="360"/>
      <c r="H55" s="360"/>
      <c r="I55" s="360"/>
      <c r="J55" s="360"/>
      <c r="K55" s="360"/>
      <c r="L55" s="360"/>
      <c r="M55" s="360"/>
      <c r="N55" s="360"/>
      <c r="O55" s="360"/>
      <c r="P55" s="360"/>
      <c r="Q55" s="360"/>
      <c r="R55" s="360"/>
      <c r="S55" s="360"/>
      <c r="T55" s="360"/>
      <c r="U55" s="360"/>
      <c r="V55" s="360"/>
      <c r="W55" s="360"/>
      <c r="X55" s="360"/>
      <c r="Y55" s="360"/>
      <c r="Z55" s="360"/>
      <c r="AA55" s="360"/>
      <c r="AB55" s="360"/>
      <c r="AC55" s="360"/>
      <c r="AD55" s="360"/>
      <c r="AE55" s="360"/>
      <c r="AF55" s="360"/>
      <c r="AG55" s="360"/>
      <c r="AH55" s="360"/>
      <c r="AI55" s="360"/>
      <c r="AJ55" s="360"/>
      <c r="AK55" s="360"/>
      <c r="AL55" s="360"/>
      <c r="AM55" s="360"/>
      <c r="AN55" s="360"/>
      <c r="AO55" s="360"/>
      <c r="AP55" s="360"/>
      <c r="AQ55" s="360"/>
      <c r="AR55" s="360"/>
      <c r="AS55" s="360"/>
      <c r="AT55" s="360"/>
      <c r="AU55" s="360"/>
      <c r="AV55" s="360"/>
      <c r="AW55" s="360"/>
      <c r="AX55" s="360"/>
      <c r="AY55" s="360"/>
      <c r="AZ55" s="360"/>
      <c r="BA55" s="360"/>
      <c r="BB55" s="360"/>
      <c r="BC55" s="360"/>
      <c r="BD55" s="360"/>
      <c r="BE55" s="360"/>
      <c r="BF55" s="360"/>
      <c r="BG55" s="360"/>
      <c r="BH55" s="360"/>
      <c r="BI55" s="360"/>
      <c r="BJ55" s="360"/>
      <c r="BK55" s="360"/>
      <c r="BL55" s="360"/>
      <c r="BM55" s="360"/>
      <c r="BN55" s="360"/>
      <c r="BO55" s="360"/>
      <c r="BP55" s="360"/>
      <c r="BQ55" s="360"/>
      <c r="BR55" s="360"/>
      <c r="BS55" s="360"/>
      <c r="BT55" s="360"/>
      <c r="BU55" s="360"/>
      <c r="BV55" s="360"/>
      <c r="BW55" s="360"/>
      <c r="BX55" s="360"/>
      <c r="BY55" s="360"/>
      <c r="BZ55" s="360"/>
      <c r="CA55" s="360"/>
      <c r="CB55" s="360"/>
      <c r="CC55" s="360"/>
      <c r="CD55" s="360"/>
      <c r="CE55" s="360"/>
      <c r="CF55" s="360"/>
      <c r="CG55" s="360"/>
      <c r="CH55" s="360"/>
      <c r="CI55" s="360"/>
      <c r="CJ55" s="360"/>
      <c r="CK55" s="360"/>
      <c r="CL55" s="360"/>
      <c r="CM55" s="360"/>
      <c r="CN55" s="360"/>
      <c r="CO55" s="360"/>
      <c r="CP55" s="360"/>
      <c r="CQ55" s="360"/>
      <c r="CR55" s="360"/>
      <c r="CS55" s="360"/>
      <c r="CT55" s="360"/>
      <c r="CU55" s="360"/>
      <c r="CV55" s="360"/>
      <c r="CW55" s="360"/>
      <c r="CX55" s="360"/>
      <c r="CY55" s="360"/>
      <c r="CZ55" s="360"/>
      <c r="DA55" s="360"/>
      <c r="DB55" s="360"/>
      <c r="DC55" s="360"/>
      <c r="DD55" s="360"/>
      <c r="DE55" s="360"/>
      <c r="DF55" s="360"/>
      <c r="DG55" s="360"/>
      <c r="DH55" s="360"/>
      <c r="DI55" s="360"/>
      <c r="DJ55" s="360"/>
      <c r="DK55" s="360"/>
      <c r="DL55" s="360"/>
      <c r="DM55" s="360"/>
      <c r="DN55" s="360"/>
      <c r="DO55" s="360"/>
      <c r="DP55" s="360"/>
      <c r="DQ55" s="360"/>
      <c r="DR55" s="360"/>
      <c r="DS55" s="360"/>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c r="ER55" s="360"/>
      <c r="ES55" s="360"/>
      <c r="ET55" s="360"/>
      <c r="EU55" s="360"/>
      <c r="EV55" s="360"/>
      <c r="EW55" s="360"/>
      <c r="EX55" s="360"/>
      <c r="EY55" s="360"/>
      <c r="EZ55" s="360"/>
      <c r="FA55" s="360"/>
      <c r="FB55" s="360"/>
      <c r="FC55" s="360"/>
      <c r="FD55" s="360"/>
      <c r="FE55" s="360"/>
      <c r="FF55" s="360"/>
      <c r="FG55" s="360"/>
      <c r="FH55" s="360"/>
      <c r="FI55" s="360"/>
      <c r="FJ55" s="360"/>
      <c r="FK55" s="360"/>
      <c r="FL55" s="360"/>
      <c r="FM55" s="360"/>
      <c r="FN55" s="360"/>
      <c r="FO55" s="360"/>
      <c r="FP55" s="360"/>
      <c r="FQ55" s="360"/>
      <c r="FR55" s="360"/>
      <c r="FS55" s="360"/>
      <c r="FT55" s="360"/>
      <c r="FU55" s="360"/>
      <c r="FV55" s="360"/>
      <c r="FW55" s="360"/>
      <c r="FX55" s="360"/>
      <c r="FY55" s="360"/>
      <c r="FZ55" s="360"/>
      <c r="GA55" s="360"/>
      <c r="GB55" s="360"/>
      <c r="GC55" s="360"/>
      <c r="GD55" s="360"/>
      <c r="GE55" s="360"/>
      <c r="GF55" s="360"/>
      <c r="GG55" s="360"/>
      <c r="GH55" s="360"/>
      <c r="GI55" s="360"/>
      <c r="GJ55" s="360"/>
      <c r="GK55" s="360"/>
      <c r="GL55" s="360"/>
      <c r="GM55" s="360"/>
      <c r="GN55" s="360"/>
      <c r="GO55" s="360"/>
      <c r="GP55" s="360"/>
      <c r="GQ55" s="360"/>
      <c r="GR55" s="360"/>
      <c r="GS55" s="360"/>
      <c r="GT55" s="360"/>
      <c r="GU55" s="360"/>
      <c r="GV55" s="360"/>
      <c r="GW55" s="360"/>
      <c r="GX55" s="360"/>
      <c r="GY55" s="360"/>
      <c r="GZ55" s="360"/>
      <c r="HA55" s="360"/>
      <c r="HB55" s="360"/>
      <c r="HC55" s="360"/>
      <c r="HD55" s="360"/>
      <c r="HE55" s="360"/>
      <c r="HF55" s="360"/>
      <c r="HG55" s="360"/>
      <c r="HH55" s="360"/>
      <c r="HI55" s="360"/>
      <c r="HJ55" s="360"/>
      <c r="HK55" s="360"/>
      <c r="HL55" s="360"/>
      <c r="HM55" s="360"/>
      <c r="HN55" s="360"/>
      <c r="HO55" s="360"/>
      <c r="HP55" s="360"/>
      <c r="HQ55" s="360"/>
      <c r="HR55" s="360"/>
      <c r="HS55" s="360"/>
      <c r="HT55" s="360"/>
      <c r="HU55" s="360"/>
      <c r="HV55" s="360"/>
      <c r="HW55" s="360"/>
      <c r="HX55" s="360"/>
      <c r="HY55" s="360"/>
      <c r="HZ55" s="360"/>
      <c r="IA55" s="360"/>
      <c r="IB55" s="360"/>
      <c r="IC55" s="360"/>
      <c r="ID55" s="360"/>
      <c r="IE55" s="360"/>
      <c r="IF55" s="360"/>
      <c r="IG55" s="360"/>
      <c r="IH55" s="360"/>
      <c r="II55" s="360"/>
      <c r="IJ55" s="360"/>
      <c r="IK55" s="360"/>
      <c r="IL55" s="360"/>
      <c r="IM55" s="360"/>
      <c r="IN55" s="360"/>
      <c r="IO55" s="360"/>
      <c r="IP55" s="360"/>
      <c r="IQ55" s="360"/>
      <c r="IR55" s="360"/>
      <c r="IS55" s="360"/>
    </row>
    <row r="56" spans="1:253" s="181" customFormat="1" ht="33" customHeight="1">
      <c r="A56" s="362" t="s">
        <v>156</v>
      </c>
      <c r="B56" s="363" t="s">
        <v>157</v>
      </c>
      <c r="C56" s="364"/>
      <c r="D56" s="364"/>
      <c r="E56" s="364"/>
      <c r="F56" s="364"/>
      <c r="G56" s="365"/>
      <c r="H56" s="228"/>
      <c r="I56" s="76"/>
      <c r="J56" s="77"/>
      <c r="K56" s="77"/>
      <c r="L56" s="121"/>
      <c r="M56" s="79"/>
      <c r="N56" s="79"/>
      <c r="O56" s="178"/>
      <c r="P56" s="137"/>
      <c r="Q56" s="179"/>
      <c r="R56" s="179"/>
      <c r="S56" s="180"/>
      <c r="T56" s="137"/>
      <c r="U56" s="137"/>
      <c r="V56" s="137"/>
      <c r="W56" s="234"/>
      <c r="X56" s="137"/>
    </row>
    <row r="57" spans="1:253" s="181" customFormat="1" ht="52.5" customHeight="1">
      <c r="A57" s="362"/>
      <c r="B57" s="330" t="s">
        <v>158</v>
      </c>
      <c r="C57" s="331"/>
      <c r="D57" s="331"/>
      <c r="E57" s="331"/>
      <c r="F57" s="331"/>
      <c r="G57" s="332"/>
      <c r="H57" s="228"/>
      <c r="I57" s="90"/>
      <c r="J57" s="174"/>
      <c r="K57" s="174"/>
      <c r="L57" s="175"/>
      <c r="M57" s="89"/>
      <c r="N57" s="89"/>
      <c r="O57" s="179"/>
      <c r="P57" s="137"/>
      <c r="Q57" s="179"/>
      <c r="R57" s="179"/>
      <c r="S57" s="180"/>
      <c r="T57" s="176"/>
      <c r="U57" s="176"/>
      <c r="V57" s="176"/>
      <c r="W57" s="177"/>
      <c r="X57" s="176"/>
    </row>
    <row r="58" spans="1:253" s="181" customFormat="1" ht="52.5" customHeight="1">
      <c r="A58" s="362"/>
      <c r="B58" s="333"/>
      <c r="C58" s="334"/>
      <c r="D58" s="334"/>
      <c r="E58" s="334"/>
      <c r="F58" s="334"/>
      <c r="G58" s="335"/>
      <c r="H58" s="229"/>
      <c r="I58" s="90"/>
      <c r="J58" s="174"/>
      <c r="K58" s="174"/>
      <c r="L58" s="175"/>
      <c r="M58" s="89"/>
      <c r="N58" s="89"/>
      <c r="O58" s="124"/>
      <c r="P58" s="137"/>
      <c r="Q58" s="124"/>
      <c r="R58" s="124"/>
      <c r="S58" s="166"/>
      <c r="T58" s="89"/>
      <c r="U58" s="126"/>
      <c r="V58" s="126"/>
      <c r="W58" s="126"/>
      <c r="X58" s="126"/>
    </row>
    <row r="59" spans="1:253" s="64" customFormat="1" ht="13.9" thickBot="1">
      <c r="A59" s="131"/>
      <c r="B59" s="86"/>
      <c r="C59" s="86"/>
      <c r="D59" s="86"/>
      <c r="E59" s="86"/>
      <c r="F59" s="86"/>
      <c r="G59" s="86"/>
      <c r="H59" s="86"/>
      <c r="I59" s="86"/>
      <c r="J59" s="86"/>
      <c r="K59" s="86"/>
      <c r="L59" s="86"/>
      <c r="M59" s="182"/>
      <c r="N59" s="183">
        <f>SUM(N53:N58)</f>
        <v>0</v>
      </c>
      <c r="O59" s="98"/>
      <c r="P59" s="227"/>
      <c r="Q59" s="98"/>
      <c r="R59" s="98"/>
      <c r="S59" s="98"/>
      <c r="T59" s="184"/>
      <c r="U59" s="70"/>
      <c r="V59" s="70"/>
      <c r="W59" s="70"/>
      <c r="X59" s="70"/>
    </row>
    <row r="60" spans="1:253" s="64" customFormat="1" ht="13.9" thickBot="1">
      <c r="A60" s="313" t="s">
        <v>159</v>
      </c>
      <c r="B60" s="314"/>
      <c r="C60" s="314"/>
      <c r="D60" s="314"/>
      <c r="E60" s="314"/>
      <c r="F60" s="314"/>
      <c r="G60" s="314"/>
      <c r="H60" s="314"/>
      <c r="I60" s="314"/>
      <c r="J60" s="314"/>
      <c r="K60" s="314"/>
      <c r="L60" s="314"/>
      <c r="M60" s="339"/>
      <c r="N60" s="339"/>
      <c r="O60" s="116"/>
      <c r="P60" s="185"/>
      <c r="Q60" s="116"/>
      <c r="R60" s="116"/>
      <c r="S60" s="116"/>
      <c r="T60" s="116"/>
      <c r="U60" s="116"/>
      <c r="V60" s="116"/>
      <c r="W60" s="116"/>
      <c r="X60" s="116"/>
    </row>
    <row r="61" spans="1:253" s="187" customFormat="1" ht="40.5" customHeight="1">
      <c r="A61" s="127" t="s">
        <v>144</v>
      </c>
      <c r="B61" s="340" t="s">
        <v>87</v>
      </c>
      <c r="C61" s="341"/>
      <c r="D61" s="341"/>
      <c r="E61" s="341"/>
      <c r="F61" s="341"/>
      <c r="G61" s="342"/>
      <c r="H61" s="311" t="s">
        <v>160</v>
      </c>
      <c r="I61" s="92"/>
      <c r="J61" s="224"/>
      <c r="K61" s="93"/>
      <c r="L61" s="93"/>
      <c r="M61" s="97"/>
      <c r="N61" s="97"/>
      <c r="O61" s="179"/>
      <c r="P61" s="291" t="s">
        <v>161</v>
      </c>
      <c r="Q61" s="99"/>
      <c r="R61" s="99"/>
      <c r="S61" s="100"/>
      <c r="T61" s="87"/>
      <c r="U61" s="123"/>
      <c r="V61" s="123"/>
      <c r="W61" s="123"/>
      <c r="X61" s="186"/>
    </row>
    <row r="62" spans="1:253" s="187" customFormat="1" ht="30" customHeight="1">
      <c r="A62" s="127" t="s">
        <v>162</v>
      </c>
      <c r="B62" s="292" t="s">
        <v>163</v>
      </c>
      <c r="C62" s="293"/>
      <c r="D62" s="293"/>
      <c r="E62" s="293"/>
      <c r="F62" s="293"/>
      <c r="G62" s="294"/>
      <c r="H62" s="311"/>
      <c r="I62" s="92"/>
      <c r="J62" s="225"/>
      <c r="K62" s="93"/>
      <c r="L62" s="93"/>
      <c r="M62" s="97"/>
      <c r="N62" s="97"/>
      <c r="O62" s="178"/>
      <c r="P62" s="291"/>
      <c r="Q62" s="178"/>
      <c r="R62" s="178"/>
      <c r="S62" s="178"/>
      <c r="T62" s="87"/>
      <c r="U62" s="123"/>
      <c r="V62" s="123"/>
      <c r="W62" s="123"/>
      <c r="X62" s="186"/>
    </row>
    <row r="63" spans="1:253" s="187" customFormat="1" ht="31.5" customHeight="1" thickBot="1">
      <c r="A63" s="127" t="s">
        <v>162</v>
      </c>
      <c r="B63" s="292" t="s">
        <v>164</v>
      </c>
      <c r="C63" s="293"/>
      <c r="D63" s="293"/>
      <c r="E63" s="293"/>
      <c r="F63" s="293"/>
      <c r="G63" s="294"/>
      <c r="H63" s="311"/>
      <c r="I63" s="92"/>
      <c r="J63" s="226"/>
      <c r="K63" s="93"/>
      <c r="L63" s="93"/>
      <c r="M63" s="97"/>
      <c r="N63" s="97"/>
      <c r="O63" s="178"/>
      <c r="P63" s="291"/>
      <c r="Q63" s="178"/>
      <c r="R63" s="178"/>
      <c r="S63" s="178"/>
      <c r="T63" s="87"/>
      <c r="U63" s="123"/>
      <c r="V63" s="123"/>
      <c r="W63" s="123"/>
      <c r="X63" s="186"/>
    </row>
    <row r="64" spans="1:253" s="187" customFormat="1" ht="27" customHeight="1">
      <c r="A64" s="127" t="s">
        <v>162</v>
      </c>
      <c r="B64" s="292" t="s">
        <v>165</v>
      </c>
      <c r="C64" s="293"/>
      <c r="D64" s="293"/>
      <c r="E64" s="293"/>
      <c r="F64" s="293"/>
      <c r="G64" s="294"/>
      <c r="H64" s="311"/>
      <c r="I64" s="92"/>
      <c r="J64" s="93"/>
      <c r="K64" s="93"/>
      <c r="L64" s="93"/>
      <c r="M64" s="97"/>
      <c r="N64" s="97"/>
      <c r="O64" s="178"/>
      <c r="P64" s="291"/>
      <c r="Q64" s="178"/>
      <c r="R64" s="178"/>
      <c r="S64" s="178"/>
      <c r="T64" s="87"/>
      <c r="U64" s="123"/>
      <c r="V64" s="123"/>
      <c r="W64" s="123"/>
      <c r="X64" s="186"/>
    </row>
    <row r="65" spans="1:24" s="187" customFormat="1" ht="14.25" customHeight="1">
      <c r="A65" s="127" t="s">
        <v>162</v>
      </c>
      <c r="B65" s="292" t="s">
        <v>166</v>
      </c>
      <c r="C65" s="293"/>
      <c r="D65" s="293"/>
      <c r="E65" s="293"/>
      <c r="F65" s="293"/>
      <c r="G65" s="294"/>
      <c r="H65" s="311"/>
      <c r="I65" s="92"/>
      <c r="J65" s="93"/>
      <c r="K65" s="93"/>
      <c r="L65" s="93"/>
      <c r="M65" s="97"/>
      <c r="N65" s="97"/>
      <c r="O65" s="179"/>
      <c r="P65" s="291"/>
      <c r="Q65" s="179"/>
      <c r="R65" s="179"/>
      <c r="S65" s="179"/>
      <c r="T65" s="87"/>
      <c r="U65" s="123"/>
      <c r="V65" s="123"/>
      <c r="W65" s="123"/>
      <c r="X65" s="186"/>
    </row>
    <row r="66" spans="1:24" s="197" customFormat="1" ht="91.5" customHeight="1">
      <c r="A66" s="188" t="s">
        <v>162</v>
      </c>
      <c r="B66" s="345" t="s">
        <v>167</v>
      </c>
      <c r="C66" s="346"/>
      <c r="D66" s="346"/>
      <c r="E66" s="346"/>
      <c r="F66" s="346"/>
      <c r="G66" s="347"/>
      <c r="H66" s="311"/>
      <c r="I66" s="348" t="s">
        <v>168</v>
      </c>
      <c r="J66" s="349"/>
      <c r="K66" s="349"/>
      <c r="L66" s="350"/>
      <c r="M66" s="189">
        <v>1</v>
      </c>
      <c r="N66" s="190"/>
      <c r="O66" s="191"/>
      <c r="P66" s="291"/>
      <c r="Q66" s="190" t="s">
        <v>169</v>
      </c>
      <c r="R66" s="190" t="s">
        <v>170</v>
      </c>
      <c r="S66" s="192">
        <v>44607</v>
      </c>
      <c r="T66" s="193" t="s">
        <v>171</v>
      </c>
      <c r="U66" s="194" t="s">
        <v>172</v>
      </c>
      <c r="V66" s="194" t="s">
        <v>17</v>
      </c>
      <c r="W66" s="195">
        <v>44620</v>
      </c>
      <c r="X66" s="196" t="s">
        <v>173</v>
      </c>
    </row>
    <row r="67" spans="1:24" s="187" customFormat="1" ht="52.5" customHeight="1">
      <c r="A67" s="127" t="s">
        <v>162</v>
      </c>
      <c r="B67" s="292" t="s">
        <v>174</v>
      </c>
      <c r="C67" s="293"/>
      <c r="D67" s="293"/>
      <c r="E67" s="293"/>
      <c r="F67" s="293"/>
      <c r="G67" s="294"/>
      <c r="H67" s="343"/>
      <c r="I67" s="318"/>
      <c r="J67" s="319"/>
      <c r="K67" s="319"/>
      <c r="L67" s="320"/>
      <c r="M67" s="93"/>
      <c r="N67" s="97"/>
      <c r="O67" s="179"/>
      <c r="P67" s="291"/>
      <c r="Q67" s="179"/>
      <c r="R67" s="179"/>
      <c r="S67" s="179"/>
      <c r="T67" s="87"/>
      <c r="U67" s="123"/>
      <c r="V67" s="123"/>
      <c r="W67" s="123"/>
      <c r="X67" s="186"/>
    </row>
    <row r="68" spans="1:24" s="64" customFormat="1" ht="13.9" thickBot="1">
      <c r="A68" s="131"/>
      <c r="B68" s="86"/>
      <c r="C68" s="86"/>
      <c r="D68" s="86"/>
      <c r="E68" s="86"/>
      <c r="F68" s="86"/>
      <c r="G68" s="86"/>
      <c r="H68" s="86"/>
      <c r="I68" s="86"/>
      <c r="J68" s="86"/>
      <c r="K68" s="86"/>
      <c r="L68" s="86"/>
      <c r="M68" s="182">
        <f>SUM(M61:M67)</f>
        <v>1</v>
      </c>
      <c r="N68" s="183">
        <v>0</v>
      </c>
      <c r="O68" s="132"/>
      <c r="P68" s="291"/>
      <c r="Q68" s="132"/>
      <c r="R68" s="132"/>
      <c r="S68" s="132"/>
      <c r="T68" s="198"/>
      <c r="U68" s="199"/>
      <c r="V68" s="199"/>
      <c r="W68" s="199"/>
      <c r="X68" s="200"/>
    </row>
    <row r="69" spans="1:24" s="64" customFormat="1" ht="13.9" thickBot="1">
      <c r="A69" s="315" t="s">
        <v>175</v>
      </c>
      <c r="B69" s="316"/>
      <c r="C69" s="316"/>
      <c r="D69" s="316"/>
      <c r="E69" s="316"/>
      <c r="F69" s="316"/>
      <c r="G69" s="316"/>
      <c r="H69" s="316"/>
      <c r="I69" s="316"/>
      <c r="J69" s="316"/>
      <c r="K69" s="316"/>
      <c r="L69" s="316"/>
      <c r="M69" s="316"/>
      <c r="N69" s="316"/>
      <c r="O69" s="201"/>
      <c r="P69" s="344"/>
      <c r="Q69" s="202"/>
      <c r="R69" s="203"/>
      <c r="S69" s="203"/>
      <c r="T69" s="203"/>
      <c r="U69" s="203"/>
      <c r="V69" s="203"/>
      <c r="W69" s="203"/>
      <c r="X69" s="203"/>
    </row>
    <row r="70" spans="1:24" s="181" customFormat="1" ht="42.75" customHeight="1">
      <c r="A70" s="373" t="s">
        <v>136</v>
      </c>
      <c r="B70" s="375" t="s">
        <v>176</v>
      </c>
      <c r="C70" s="376"/>
      <c r="D70" s="376"/>
      <c r="E70" s="376"/>
      <c r="F70" s="376"/>
      <c r="G70" s="377"/>
      <c r="H70" s="376"/>
      <c r="I70" s="380"/>
      <c r="J70" s="381"/>
      <c r="K70" s="381"/>
      <c r="L70" s="382"/>
      <c r="M70" s="336"/>
      <c r="N70" s="325"/>
      <c r="O70" s="367"/>
      <c r="P70" s="325" t="s">
        <v>177</v>
      </c>
      <c r="Q70" s="369"/>
      <c r="R70" s="369"/>
      <c r="S70" s="371"/>
      <c r="T70" s="140"/>
      <c r="U70" s="204"/>
      <c r="V70" s="204"/>
      <c r="W70" s="205"/>
      <c r="X70" s="206"/>
    </row>
    <row r="71" spans="1:24" s="187" customFormat="1" ht="26.25" customHeight="1">
      <c r="A71" s="374"/>
      <c r="B71" s="289"/>
      <c r="C71" s="290"/>
      <c r="D71" s="290"/>
      <c r="E71" s="290"/>
      <c r="F71" s="290"/>
      <c r="G71" s="309"/>
      <c r="H71" s="378"/>
      <c r="I71" s="383"/>
      <c r="J71" s="384"/>
      <c r="K71" s="384"/>
      <c r="L71" s="385"/>
      <c r="M71" s="337"/>
      <c r="N71" s="338"/>
      <c r="O71" s="368"/>
      <c r="P71" s="291"/>
      <c r="Q71" s="370"/>
      <c r="R71" s="370"/>
      <c r="S71" s="372"/>
      <c r="T71" s="207"/>
      <c r="U71" s="88"/>
      <c r="V71" s="88"/>
      <c r="W71" s="208"/>
      <c r="X71" s="209"/>
    </row>
    <row r="72" spans="1:24" s="187" customFormat="1">
      <c r="A72" s="127" t="s">
        <v>144</v>
      </c>
      <c r="B72" s="292" t="s">
        <v>87</v>
      </c>
      <c r="C72" s="293"/>
      <c r="D72" s="293"/>
      <c r="E72" s="293"/>
      <c r="F72" s="293"/>
      <c r="G72" s="294"/>
      <c r="H72" s="378"/>
      <c r="I72" s="92"/>
      <c r="J72" s="93"/>
      <c r="K72" s="93"/>
      <c r="L72" s="93"/>
      <c r="M72" s="103"/>
      <c r="N72" s="103"/>
      <c r="O72" s="210"/>
      <c r="P72" s="291"/>
      <c r="Q72" s="211"/>
      <c r="R72" s="211"/>
      <c r="S72" s="212"/>
      <c r="T72" s="87"/>
      <c r="U72" s="123"/>
      <c r="V72" s="123"/>
      <c r="W72" s="130"/>
      <c r="X72" s="213"/>
    </row>
    <row r="73" spans="1:24" s="187" customFormat="1" ht="15.75" customHeight="1">
      <c r="A73" s="127" t="s">
        <v>178</v>
      </c>
      <c r="B73" s="292" t="s">
        <v>179</v>
      </c>
      <c r="C73" s="293"/>
      <c r="D73" s="293"/>
      <c r="E73" s="293"/>
      <c r="F73" s="293"/>
      <c r="G73" s="294"/>
      <c r="H73" s="378"/>
      <c r="I73" s="292"/>
      <c r="J73" s="293"/>
      <c r="K73" s="293"/>
      <c r="L73" s="293"/>
      <c r="M73" s="103"/>
      <c r="N73" s="103"/>
      <c r="O73" s="210"/>
      <c r="P73" s="291"/>
      <c r="Q73" s="210"/>
      <c r="R73" s="210"/>
      <c r="S73" s="210"/>
      <c r="T73" s="87"/>
      <c r="U73" s="123"/>
      <c r="V73" s="123"/>
      <c r="W73" s="123"/>
      <c r="X73" s="186"/>
    </row>
    <row r="74" spans="1:24" s="187" customFormat="1" ht="27" customHeight="1">
      <c r="A74" s="164" t="s">
        <v>180</v>
      </c>
      <c r="B74" s="292" t="s">
        <v>181</v>
      </c>
      <c r="C74" s="293"/>
      <c r="D74" s="293"/>
      <c r="E74" s="293"/>
      <c r="F74" s="293"/>
      <c r="G74" s="294"/>
      <c r="H74" s="378"/>
      <c r="I74" s="292"/>
      <c r="J74" s="293"/>
      <c r="K74" s="293"/>
      <c r="L74" s="294"/>
      <c r="M74" s="103"/>
      <c r="N74" s="89"/>
      <c r="O74" s="210"/>
      <c r="P74" s="291"/>
      <c r="Q74" s="165"/>
      <c r="R74" s="165"/>
      <c r="S74" s="166"/>
      <c r="T74" s="87"/>
      <c r="U74" s="123"/>
      <c r="V74" s="123"/>
      <c r="W74" s="123"/>
      <c r="X74" s="186"/>
    </row>
    <row r="75" spans="1:24" s="64" customFormat="1">
      <c r="A75" s="207"/>
      <c r="B75" s="292"/>
      <c r="C75" s="293"/>
      <c r="D75" s="293"/>
      <c r="E75" s="293"/>
      <c r="F75" s="293"/>
      <c r="G75" s="294"/>
      <c r="H75" s="378"/>
      <c r="I75" s="292"/>
      <c r="J75" s="293"/>
      <c r="K75" s="293"/>
      <c r="L75" s="293"/>
      <c r="M75" s="182">
        <v>1</v>
      </c>
      <c r="N75" s="183">
        <f>SUM(N70:N74)</f>
        <v>0</v>
      </c>
      <c r="O75" s="210"/>
      <c r="P75" s="291"/>
      <c r="Q75" s="210"/>
      <c r="R75" s="210"/>
      <c r="S75" s="210"/>
      <c r="T75" s="87"/>
      <c r="U75" s="126"/>
      <c r="V75" s="126"/>
      <c r="W75" s="126"/>
      <c r="X75" s="213"/>
    </row>
    <row r="76" spans="1:24" ht="16.149999999999999" thickBot="1">
      <c r="A76" s="214"/>
      <c r="B76" s="215"/>
      <c r="C76" s="215"/>
      <c r="D76" s="215"/>
      <c r="E76" s="215"/>
      <c r="F76" s="215"/>
      <c r="G76" s="215"/>
      <c r="H76" s="379"/>
      <c r="I76" s="215"/>
      <c r="J76" s="215"/>
      <c r="K76" s="215"/>
      <c r="L76" s="216"/>
      <c r="M76" s="215"/>
      <c r="N76" s="215"/>
      <c r="O76" s="215"/>
      <c r="P76" s="326"/>
      <c r="Q76" s="215"/>
      <c r="R76" s="215"/>
      <c r="S76" s="215"/>
      <c r="T76" s="217"/>
      <c r="U76" s="218"/>
      <c r="V76" s="218"/>
      <c r="W76" s="218"/>
      <c r="X76" s="219"/>
    </row>
    <row r="77" spans="1:24" ht="13.9" thickBot="1">
      <c r="L77" s="53" t="s">
        <v>182</v>
      </c>
      <c r="M77" s="182">
        <v>4</v>
      </c>
      <c r="N77" s="183" t="e">
        <f>N75+N68+N59+N51+N39+#REF!+N36+N23</f>
        <v>#REF!</v>
      </c>
    </row>
    <row r="78" spans="1:24" ht="13.9" thickBot="1">
      <c r="K78" s="351" t="s">
        <v>183</v>
      </c>
      <c r="L78" s="352"/>
      <c r="M78" s="353"/>
      <c r="N78" s="220" t="s">
        <v>184</v>
      </c>
      <c r="O78" s="221"/>
    </row>
    <row r="79" spans="1:24" ht="13.9" thickBot="1">
      <c r="N79" s="222"/>
      <c r="O79" s="222"/>
    </row>
    <row r="80" spans="1:24" ht="13.9" thickBot="1">
      <c r="A80" s="354"/>
      <c r="B80" s="355"/>
      <c r="C80" s="355"/>
      <c r="D80" s="355"/>
      <c r="E80" s="355"/>
      <c r="F80" s="355"/>
      <c r="G80" s="355"/>
      <c r="H80" s="355"/>
      <c r="I80" s="355"/>
      <c r="J80" s="355"/>
      <c r="K80" s="355"/>
      <c r="L80" s="355"/>
      <c r="M80" s="355"/>
      <c r="N80" s="355"/>
      <c r="O80" s="356"/>
    </row>
  </sheetData>
  <autoFilter ref="A11:P75" xr:uid="{490982F5-7661-4E91-B819-9B1D04D85546}">
    <filterColumn colId="1" showButton="0"/>
    <filterColumn colId="2" showButton="0"/>
    <filterColumn colId="3" showButton="0"/>
    <filterColumn colId="4" showButton="0"/>
    <filterColumn colId="5" showButton="0"/>
    <filterColumn colId="6" showButton="0"/>
    <filterColumn colId="8" showButton="0"/>
    <filterColumn colId="9" showButton="0"/>
    <filterColumn colId="10" showButton="0"/>
  </autoFilter>
  <mergeCells count="167">
    <mergeCell ref="K78:M78"/>
    <mergeCell ref="A80:O80"/>
    <mergeCell ref="P40:P44"/>
    <mergeCell ref="A55:XFD55"/>
    <mergeCell ref="A56:A58"/>
    <mergeCell ref="B56:G56"/>
    <mergeCell ref="H53:H54"/>
    <mergeCell ref="O70:O71"/>
    <mergeCell ref="P70:P76"/>
    <mergeCell ref="Q70:Q71"/>
    <mergeCell ref="R70:R71"/>
    <mergeCell ref="S70:S71"/>
    <mergeCell ref="B72:G72"/>
    <mergeCell ref="B73:G73"/>
    <mergeCell ref="I73:L73"/>
    <mergeCell ref="B74:G74"/>
    <mergeCell ref="I74:L74"/>
    <mergeCell ref="B67:G67"/>
    <mergeCell ref="I67:L67"/>
    <mergeCell ref="A69:N69"/>
    <mergeCell ref="A70:A71"/>
    <mergeCell ref="B70:G71"/>
    <mergeCell ref="H70:H76"/>
    <mergeCell ref="I70:L71"/>
    <mergeCell ref="M70:M71"/>
    <mergeCell ref="N70:N71"/>
    <mergeCell ref="B75:G75"/>
    <mergeCell ref="A60:N60"/>
    <mergeCell ref="B61:G61"/>
    <mergeCell ref="H61:H67"/>
    <mergeCell ref="P61:P69"/>
    <mergeCell ref="B62:G62"/>
    <mergeCell ref="B63:G63"/>
    <mergeCell ref="B64:G64"/>
    <mergeCell ref="B65:G65"/>
    <mergeCell ref="B66:G66"/>
    <mergeCell ref="I66:L66"/>
    <mergeCell ref="I75:L75"/>
    <mergeCell ref="B53:G53"/>
    <mergeCell ref="B54:G54"/>
    <mergeCell ref="B57:G57"/>
    <mergeCell ref="B58:G58"/>
    <mergeCell ref="I49:L49"/>
    <mergeCell ref="B50:G50"/>
    <mergeCell ref="I50:L50"/>
    <mergeCell ref="B51:G51"/>
    <mergeCell ref="I51:L51"/>
    <mergeCell ref="A52:N52"/>
    <mergeCell ref="A45:N45"/>
    <mergeCell ref="B46:G46"/>
    <mergeCell ref="H46:H51"/>
    <mergeCell ref="I46:L46"/>
    <mergeCell ref="P46:P51"/>
    <mergeCell ref="B47:G47"/>
    <mergeCell ref="I47:L47"/>
    <mergeCell ref="B48:G48"/>
    <mergeCell ref="I48:L48"/>
    <mergeCell ref="B49:G49"/>
    <mergeCell ref="A37:N37"/>
    <mergeCell ref="B32:G32"/>
    <mergeCell ref="I32:L32"/>
    <mergeCell ref="B33:G33"/>
    <mergeCell ref="I33:L33"/>
    <mergeCell ref="B34:G34"/>
    <mergeCell ref="I34:L34"/>
    <mergeCell ref="A39:N39"/>
    <mergeCell ref="B40:G40"/>
    <mergeCell ref="H40:H44"/>
    <mergeCell ref="I40:L40"/>
    <mergeCell ref="B41:G41"/>
    <mergeCell ref="I41:L41"/>
    <mergeCell ref="B42:G42"/>
    <mergeCell ref="I42:L42"/>
    <mergeCell ref="A38:N38"/>
    <mergeCell ref="B30:G30"/>
    <mergeCell ref="I30:L30"/>
    <mergeCell ref="B31:G31"/>
    <mergeCell ref="I31:L31"/>
    <mergeCell ref="A24:N24"/>
    <mergeCell ref="B25:G25"/>
    <mergeCell ref="H25:H36"/>
    <mergeCell ref="I25:L25"/>
    <mergeCell ref="B35:G35"/>
    <mergeCell ref="I35:L35"/>
    <mergeCell ref="B36:G36"/>
    <mergeCell ref="I36:L36"/>
    <mergeCell ref="P25:P36"/>
    <mergeCell ref="B26:G26"/>
    <mergeCell ref="I26:L26"/>
    <mergeCell ref="B27:G27"/>
    <mergeCell ref="I27:L27"/>
    <mergeCell ref="B28:G28"/>
    <mergeCell ref="GO23:GX23"/>
    <mergeCell ref="GZ23:HI23"/>
    <mergeCell ref="HK23:HT23"/>
    <mergeCell ref="BM23:BV23"/>
    <mergeCell ref="BX23:CG23"/>
    <mergeCell ref="CI23:CR23"/>
    <mergeCell ref="CT23:DC23"/>
    <mergeCell ref="DE23:DN23"/>
    <mergeCell ref="DP23:DY23"/>
    <mergeCell ref="B23:G23"/>
    <mergeCell ref="I23:L23"/>
    <mergeCell ref="U23:AD23"/>
    <mergeCell ref="AF23:AO23"/>
    <mergeCell ref="AQ23:AZ23"/>
    <mergeCell ref="BB23:BK23"/>
    <mergeCell ref="I28:L28"/>
    <mergeCell ref="B29:G29"/>
    <mergeCell ref="I29:L29"/>
    <mergeCell ref="HV23:IE23"/>
    <mergeCell ref="IG23:IP23"/>
    <mergeCell ref="IR23:IS23"/>
    <mergeCell ref="EA23:EJ23"/>
    <mergeCell ref="EL23:EU23"/>
    <mergeCell ref="EW23:FF23"/>
    <mergeCell ref="FH23:FQ23"/>
    <mergeCell ref="FS23:GB23"/>
    <mergeCell ref="GD23:GM23"/>
    <mergeCell ref="B20:G20"/>
    <mergeCell ref="I20:L20"/>
    <mergeCell ref="B21:G21"/>
    <mergeCell ref="I21:L21"/>
    <mergeCell ref="B22:G22"/>
    <mergeCell ref="I22:L22"/>
    <mergeCell ref="HV15:IE15"/>
    <mergeCell ref="IG15:IP15"/>
    <mergeCell ref="IR15:IS15"/>
    <mergeCell ref="B16:G16"/>
    <mergeCell ref="I16:L16"/>
    <mergeCell ref="B17:G17"/>
    <mergeCell ref="I17:L17"/>
    <mergeCell ref="FH15:FQ15"/>
    <mergeCell ref="FS15:GB15"/>
    <mergeCell ref="GD15:GM15"/>
    <mergeCell ref="GO15:GX15"/>
    <mergeCell ref="GZ15:HI15"/>
    <mergeCell ref="HK15:HT15"/>
    <mergeCell ref="CT15:DC15"/>
    <mergeCell ref="DE15:DN15"/>
    <mergeCell ref="DP15:DY15"/>
    <mergeCell ref="EA15:EJ15"/>
    <mergeCell ref="EL15:EU15"/>
    <mergeCell ref="C1:P1"/>
    <mergeCell ref="C2:P2"/>
    <mergeCell ref="C4:D4"/>
    <mergeCell ref="C5:D5"/>
    <mergeCell ref="K9:M9"/>
    <mergeCell ref="B11:G11"/>
    <mergeCell ref="I11:L11"/>
    <mergeCell ref="EW15:FF15"/>
    <mergeCell ref="AF15:AO15"/>
    <mergeCell ref="AQ15:AZ15"/>
    <mergeCell ref="BB15:BK15"/>
    <mergeCell ref="BM15:BV15"/>
    <mergeCell ref="BX15:CG15"/>
    <mergeCell ref="CI15:CR15"/>
    <mergeCell ref="A12:L12"/>
    <mergeCell ref="A14:N14"/>
    <mergeCell ref="B15:G15"/>
    <mergeCell ref="H15:H22"/>
    <mergeCell ref="I15:L15"/>
    <mergeCell ref="P15:P23"/>
    <mergeCell ref="B18:G18"/>
    <mergeCell ref="I18:L18"/>
    <mergeCell ref="B19:G19"/>
    <mergeCell ref="I19:L19"/>
  </mergeCells>
  <pageMargins left="0.42" right="0.4" top="0.45" bottom="0.56999999999999995" header="0.3" footer="0.4921259845"/>
  <pageSetup paperSize="9" scale="7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A19" sqref="A19"/>
    </sheetView>
  </sheetViews>
  <sheetFormatPr defaultColWidth="11.42578125" defaultRowHeight="13.15"/>
  <cols>
    <col min="1" max="1" width="67.140625" bestFit="1" customWidth="1"/>
    <col min="2" max="2" width="14.5703125" bestFit="1" customWidth="1"/>
  </cols>
  <sheetData>
    <row r="1" spans="1:2" ht="18">
      <c r="A1" s="11" t="s">
        <v>185</v>
      </c>
      <c r="B1" s="11" t="s">
        <v>186</v>
      </c>
    </row>
    <row r="2" spans="1:2">
      <c r="A2" s="12" t="s">
        <v>187</v>
      </c>
      <c r="B2" s="12" t="s">
        <v>188</v>
      </c>
    </row>
    <row r="3" spans="1:2">
      <c r="A3" s="12" t="s">
        <v>189</v>
      </c>
      <c r="B3" s="12" t="s">
        <v>188</v>
      </c>
    </row>
    <row r="4" spans="1:2">
      <c r="A4" s="12" t="s">
        <v>190</v>
      </c>
      <c r="B4" s="12" t="s">
        <v>188</v>
      </c>
    </row>
    <row r="5" spans="1:2">
      <c r="A5" s="12" t="s">
        <v>191</v>
      </c>
      <c r="B5" s="12" t="s">
        <v>188</v>
      </c>
    </row>
    <row r="6" spans="1:2">
      <c r="A6" s="12" t="s">
        <v>192</v>
      </c>
      <c r="B6" s="12" t="s">
        <v>188</v>
      </c>
    </row>
    <row r="7" spans="1:2">
      <c r="A7" s="12" t="s">
        <v>193</v>
      </c>
      <c r="B7" s="12" t="s">
        <v>188</v>
      </c>
    </row>
    <row r="8" spans="1:2">
      <c r="A8" s="12" t="s">
        <v>194</v>
      </c>
      <c r="B8" s="12" t="s">
        <v>188</v>
      </c>
    </row>
    <row r="9" spans="1:2">
      <c r="A9" s="12" t="s">
        <v>195</v>
      </c>
      <c r="B9" s="12" t="s">
        <v>188</v>
      </c>
    </row>
    <row r="10" spans="1:2">
      <c r="A10" s="12" t="s">
        <v>196</v>
      </c>
      <c r="B10" s="12" t="s">
        <v>188</v>
      </c>
    </row>
    <row r="11" spans="1:2">
      <c r="A11" s="12" t="s">
        <v>197</v>
      </c>
      <c r="B11" s="12" t="s">
        <v>188</v>
      </c>
    </row>
    <row r="12" spans="1:2">
      <c r="A12" s="12" t="s">
        <v>198</v>
      </c>
      <c r="B12" s="12" t="s">
        <v>188</v>
      </c>
    </row>
    <row r="13" spans="1:2">
      <c r="A13" s="12" t="s">
        <v>199</v>
      </c>
      <c r="B13" s="12" t="s">
        <v>188</v>
      </c>
    </row>
    <row r="14" spans="1:2">
      <c r="A14" s="12" t="s">
        <v>200</v>
      </c>
      <c r="B14" s="12" t="s">
        <v>188</v>
      </c>
    </row>
    <row r="15" spans="1:2">
      <c r="A15" s="12" t="s">
        <v>201</v>
      </c>
      <c r="B15" s="12" t="s">
        <v>188</v>
      </c>
    </row>
    <row r="16" spans="1:2">
      <c r="A16" s="12" t="s">
        <v>202</v>
      </c>
      <c r="B16" s="12" t="s">
        <v>188</v>
      </c>
    </row>
    <row r="17" spans="1:2">
      <c r="A17" s="12" t="s">
        <v>203</v>
      </c>
      <c r="B17" s="12" t="s">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10" sqref="B10"/>
    </sheetView>
  </sheetViews>
  <sheetFormatPr defaultColWidth="11.42578125" defaultRowHeight="13.15"/>
  <cols>
    <col min="1" max="2" width="38.42578125" bestFit="1" customWidth="1"/>
  </cols>
  <sheetData>
    <row r="1" spans="1:2" ht="18">
      <c r="A1" s="13" t="s">
        <v>204</v>
      </c>
    </row>
    <row r="2" spans="1:2" ht="14.45">
      <c r="A2" s="14"/>
    </row>
    <row r="3" spans="1:2" ht="14.45">
      <c r="A3" t="s">
        <v>205</v>
      </c>
      <c r="B3" s="14" t="s">
        <v>206</v>
      </c>
    </row>
    <row r="4" spans="1:2" ht="14.45">
      <c r="A4" t="s">
        <v>207</v>
      </c>
      <c r="B4" s="14" t="s">
        <v>208</v>
      </c>
    </row>
    <row r="5" spans="1:2" ht="14.45">
      <c r="A5" t="s">
        <v>207</v>
      </c>
      <c r="B5" s="35" t="s">
        <v>209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
  <sheetViews>
    <sheetView workbookViewId="0">
      <selection activeCell="S10" sqref="S10"/>
    </sheetView>
  </sheetViews>
  <sheetFormatPr defaultColWidth="11.42578125" defaultRowHeight="13.15"/>
  <cols>
    <col min="1" max="1" width="21" customWidth="1"/>
    <col min="2" max="24" width="4.5703125" customWidth="1"/>
  </cols>
  <sheetData>
    <row r="1" spans="1:24" ht="15" thickBot="1">
      <c r="A1" s="15"/>
      <c r="B1" s="386" t="s">
        <v>210</v>
      </c>
      <c r="C1" s="387"/>
      <c r="D1" s="387"/>
      <c r="E1" s="387"/>
      <c r="F1" s="387"/>
      <c r="G1" s="387"/>
      <c r="H1" s="387"/>
      <c r="I1" s="387"/>
      <c r="J1" s="387"/>
      <c r="K1" s="387"/>
      <c r="L1" s="387"/>
      <c r="M1" s="387"/>
      <c r="N1" s="387"/>
      <c r="O1" s="387"/>
      <c r="P1" s="387"/>
      <c r="Q1" s="387"/>
      <c r="R1" s="387"/>
      <c r="S1" s="387"/>
      <c r="T1" s="387"/>
      <c r="U1" s="387"/>
      <c r="V1" s="387"/>
      <c r="W1" s="387"/>
      <c r="X1" s="388"/>
    </row>
    <row r="2" spans="1:24" ht="56.45" thickBot="1">
      <c r="A2" s="16" t="s">
        <v>211</v>
      </c>
      <c r="B2" s="17" t="s">
        <v>212</v>
      </c>
      <c r="C2" s="17" t="s">
        <v>213</v>
      </c>
      <c r="D2" s="17" t="s">
        <v>214</v>
      </c>
      <c r="E2" s="17" t="s">
        <v>84</v>
      </c>
      <c r="F2" s="17" t="s">
        <v>215</v>
      </c>
      <c r="G2" s="17" t="s">
        <v>216</v>
      </c>
      <c r="H2" s="17" t="s">
        <v>217</v>
      </c>
      <c r="I2" s="17" t="s">
        <v>218</v>
      </c>
      <c r="J2" s="17" t="s">
        <v>219</v>
      </c>
      <c r="K2" s="17" t="s">
        <v>220</v>
      </c>
      <c r="L2" s="17" t="s">
        <v>221</v>
      </c>
      <c r="M2" s="17" t="s">
        <v>222</v>
      </c>
      <c r="N2" s="17" t="s">
        <v>223</v>
      </c>
      <c r="O2" s="17" t="s">
        <v>224</v>
      </c>
      <c r="P2" s="18" t="s">
        <v>225</v>
      </c>
      <c r="Q2" s="17" t="s">
        <v>226</v>
      </c>
      <c r="R2" s="17" t="s">
        <v>227</v>
      </c>
      <c r="S2" s="17" t="s">
        <v>136</v>
      </c>
      <c r="T2" s="17" t="s">
        <v>228</v>
      </c>
      <c r="U2" s="17" t="s">
        <v>101</v>
      </c>
      <c r="V2" s="17" t="s">
        <v>229</v>
      </c>
      <c r="W2" s="17" t="s">
        <v>118</v>
      </c>
      <c r="X2" s="17" t="s">
        <v>230</v>
      </c>
    </row>
    <row r="3" spans="1:24" ht="34.5" customHeight="1">
      <c r="A3" s="19" t="s">
        <v>231</v>
      </c>
      <c r="B3" s="20" t="s">
        <v>232</v>
      </c>
      <c r="C3" s="20" t="s">
        <v>232</v>
      </c>
      <c r="D3" s="20" t="s">
        <v>232</v>
      </c>
      <c r="E3" s="20" t="s">
        <v>232</v>
      </c>
      <c r="F3" s="20" t="s">
        <v>232</v>
      </c>
      <c r="G3" s="20" t="s">
        <v>232</v>
      </c>
      <c r="H3" s="20" t="s">
        <v>232</v>
      </c>
      <c r="I3" s="20"/>
      <c r="J3" s="20" t="s">
        <v>232</v>
      </c>
      <c r="K3" s="20" t="s">
        <v>232</v>
      </c>
      <c r="L3" s="20"/>
      <c r="M3" s="20"/>
      <c r="N3" s="20"/>
      <c r="O3" s="20"/>
      <c r="P3" s="20"/>
      <c r="Q3" s="20"/>
      <c r="R3" s="20"/>
      <c r="S3" s="20" t="s">
        <v>232</v>
      </c>
      <c r="T3" s="20" t="s">
        <v>232</v>
      </c>
      <c r="U3" s="20" t="s">
        <v>232</v>
      </c>
      <c r="V3" s="20" t="s">
        <v>232</v>
      </c>
      <c r="W3" s="20" t="s">
        <v>232</v>
      </c>
      <c r="X3" s="20" t="s">
        <v>232</v>
      </c>
    </row>
    <row r="4" spans="1:24" ht="34.5" customHeight="1">
      <c r="A4" s="25" t="s">
        <v>233</v>
      </c>
      <c r="B4" s="26"/>
      <c r="C4" s="26" t="s">
        <v>232</v>
      </c>
      <c r="D4" s="26"/>
      <c r="E4" s="26"/>
      <c r="F4" s="26"/>
      <c r="G4" s="26" t="s">
        <v>232</v>
      </c>
      <c r="H4" s="26"/>
      <c r="I4" s="26" t="s">
        <v>232</v>
      </c>
      <c r="J4" s="26"/>
      <c r="K4" s="26" t="s">
        <v>232</v>
      </c>
      <c r="L4" s="26"/>
      <c r="M4" s="26"/>
      <c r="N4" s="26"/>
      <c r="O4" s="26"/>
      <c r="P4" s="26"/>
      <c r="Q4" s="26"/>
      <c r="R4" s="26" t="s">
        <v>232</v>
      </c>
      <c r="S4" s="26" t="s">
        <v>232</v>
      </c>
      <c r="T4" s="26" t="s">
        <v>232</v>
      </c>
      <c r="U4" s="26" t="s">
        <v>232</v>
      </c>
      <c r="V4" s="26" t="s">
        <v>232</v>
      </c>
      <c r="W4" s="26" t="s">
        <v>232</v>
      </c>
      <c r="X4" s="26" t="s">
        <v>232</v>
      </c>
    </row>
    <row r="5" spans="1:24" ht="34.5" customHeight="1">
      <c r="A5" s="21" t="s">
        <v>234</v>
      </c>
      <c r="B5" s="22"/>
      <c r="C5" s="22" t="s">
        <v>232</v>
      </c>
      <c r="D5" s="22"/>
      <c r="E5" s="22"/>
      <c r="F5" s="22"/>
      <c r="G5" s="22" t="s">
        <v>232</v>
      </c>
      <c r="H5" s="22"/>
      <c r="I5" s="22"/>
      <c r="J5" s="22"/>
      <c r="K5" s="22" t="s">
        <v>232</v>
      </c>
      <c r="L5" s="22" t="s">
        <v>232</v>
      </c>
      <c r="M5" s="22" t="s">
        <v>232</v>
      </c>
      <c r="N5" s="22"/>
      <c r="O5" s="22"/>
      <c r="P5" s="22"/>
      <c r="Q5" s="22"/>
      <c r="R5" s="22"/>
      <c r="S5" s="22" t="s">
        <v>232</v>
      </c>
      <c r="T5" s="22"/>
      <c r="U5" s="22"/>
      <c r="V5" s="22"/>
      <c r="W5" s="22"/>
      <c r="X5" s="22"/>
    </row>
    <row r="6" spans="1:24" ht="34.5" customHeight="1">
      <c r="A6" s="21" t="s">
        <v>235</v>
      </c>
      <c r="B6" s="22"/>
      <c r="C6" s="22" t="s">
        <v>232</v>
      </c>
      <c r="D6" s="22"/>
      <c r="E6" s="22"/>
      <c r="F6" s="22"/>
      <c r="G6" s="22" t="s">
        <v>232</v>
      </c>
      <c r="H6" s="22"/>
      <c r="I6" s="22"/>
      <c r="J6" s="22"/>
      <c r="K6" s="22"/>
      <c r="L6" s="22"/>
      <c r="M6" s="22"/>
      <c r="N6" s="22" t="s">
        <v>232</v>
      </c>
      <c r="O6" s="22"/>
      <c r="P6" s="22"/>
      <c r="Q6" s="22"/>
      <c r="R6" s="22"/>
      <c r="S6" s="22" t="s">
        <v>232</v>
      </c>
      <c r="T6" s="22"/>
      <c r="U6" s="22"/>
      <c r="V6" s="22"/>
      <c r="W6" s="22"/>
      <c r="X6" s="22"/>
    </row>
    <row r="7" spans="1:24" ht="34.5" customHeight="1">
      <c r="A7" s="24" t="s">
        <v>236</v>
      </c>
      <c r="B7" s="20"/>
      <c r="C7" s="20" t="s">
        <v>232</v>
      </c>
      <c r="D7" s="20"/>
      <c r="E7" s="20"/>
      <c r="F7" s="20"/>
      <c r="G7" s="20" t="s">
        <v>232</v>
      </c>
      <c r="H7" s="20"/>
      <c r="I7" s="20" t="s">
        <v>232</v>
      </c>
      <c r="J7" s="20"/>
      <c r="K7" s="20" t="s">
        <v>232</v>
      </c>
      <c r="L7" s="20"/>
      <c r="M7" s="20"/>
      <c r="N7" s="20" t="s">
        <v>232</v>
      </c>
      <c r="O7" s="20"/>
      <c r="P7" s="20" t="s">
        <v>232</v>
      </c>
      <c r="Q7" s="20"/>
      <c r="R7" s="20"/>
      <c r="S7" s="20" t="s">
        <v>232</v>
      </c>
      <c r="T7" s="20"/>
      <c r="U7" s="20"/>
      <c r="V7" s="20"/>
      <c r="W7" s="20"/>
      <c r="X7" s="20"/>
    </row>
    <row r="8" spans="1:24" ht="34.5" customHeight="1">
      <c r="A8" s="25" t="s">
        <v>237</v>
      </c>
      <c r="B8" s="26"/>
      <c r="C8" s="26" t="s">
        <v>232</v>
      </c>
      <c r="D8" s="26"/>
      <c r="E8" s="26"/>
      <c r="F8" s="26"/>
      <c r="G8" s="26" t="s">
        <v>232</v>
      </c>
      <c r="H8" s="26"/>
      <c r="I8" s="26"/>
      <c r="J8" s="26"/>
      <c r="K8" s="26" t="s">
        <v>232</v>
      </c>
      <c r="L8" s="26"/>
      <c r="M8" s="26"/>
      <c r="N8" s="26"/>
      <c r="O8" s="26" t="s">
        <v>232</v>
      </c>
      <c r="P8" s="26" t="s">
        <v>232</v>
      </c>
      <c r="Q8" s="26" t="s">
        <v>232</v>
      </c>
      <c r="R8" s="26"/>
      <c r="S8" s="26" t="s">
        <v>232</v>
      </c>
      <c r="T8" s="26"/>
      <c r="U8" s="26"/>
      <c r="V8" s="26"/>
      <c r="W8" s="26"/>
      <c r="X8" s="26"/>
    </row>
    <row r="9" spans="1:24" ht="34.5" customHeight="1">
      <c r="A9" s="23" t="s">
        <v>238</v>
      </c>
      <c r="B9" s="20"/>
      <c r="C9" s="20" t="s">
        <v>232</v>
      </c>
      <c r="D9" s="20"/>
      <c r="E9" s="20"/>
      <c r="F9" s="20"/>
      <c r="G9" s="20" t="s">
        <v>232</v>
      </c>
      <c r="H9" s="20"/>
      <c r="I9" s="20"/>
      <c r="J9" s="20"/>
      <c r="K9" s="20" t="s">
        <v>232</v>
      </c>
      <c r="L9" s="20"/>
      <c r="M9" s="20"/>
      <c r="N9" s="20"/>
      <c r="O9" s="20"/>
      <c r="P9" s="20" t="s">
        <v>232</v>
      </c>
      <c r="Q9" s="20" t="s">
        <v>232</v>
      </c>
      <c r="R9" s="20" t="s">
        <v>232</v>
      </c>
      <c r="S9" s="20" t="s">
        <v>232</v>
      </c>
      <c r="T9" s="20"/>
      <c r="U9" s="20"/>
      <c r="V9" s="20"/>
      <c r="W9" s="20"/>
      <c r="X9" s="20"/>
    </row>
    <row r="10" spans="1:24" ht="34.5" customHeight="1">
      <c r="A10" s="25" t="s">
        <v>239</v>
      </c>
      <c r="B10" s="26"/>
      <c r="C10" s="26" t="s">
        <v>232</v>
      </c>
      <c r="D10" s="26"/>
      <c r="E10" s="26"/>
      <c r="F10" s="26"/>
      <c r="G10" s="26" t="s">
        <v>232</v>
      </c>
      <c r="H10" s="26"/>
      <c r="I10" s="26"/>
      <c r="J10" s="26"/>
      <c r="K10" s="26" t="s">
        <v>232</v>
      </c>
      <c r="L10" s="26"/>
      <c r="M10" s="26"/>
      <c r="N10" s="26"/>
      <c r="O10" s="26" t="s">
        <v>232</v>
      </c>
      <c r="P10" s="26"/>
      <c r="Q10" s="26"/>
      <c r="R10" s="26"/>
      <c r="S10" s="26" t="s">
        <v>232</v>
      </c>
      <c r="T10" s="26"/>
      <c r="U10" s="26"/>
      <c r="V10" s="26"/>
      <c r="W10" s="26"/>
      <c r="X10" s="26"/>
    </row>
    <row r="11" spans="1:24" ht="34.5" customHeight="1">
      <c r="A11" s="23" t="s">
        <v>240</v>
      </c>
      <c r="B11" s="20"/>
      <c r="C11" s="20" t="s">
        <v>232</v>
      </c>
      <c r="D11" s="20"/>
      <c r="E11" s="20"/>
      <c r="F11" s="20"/>
      <c r="G11" s="20" t="s">
        <v>232</v>
      </c>
      <c r="H11" s="20" t="s">
        <v>232</v>
      </c>
      <c r="I11" s="20"/>
      <c r="J11" s="20"/>
      <c r="K11" s="20"/>
      <c r="L11" s="20"/>
      <c r="M11" s="20"/>
      <c r="N11" s="20"/>
      <c r="O11" s="20"/>
      <c r="P11" s="20" t="s">
        <v>232</v>
      </c>
      <c r="Q11" s="20"/>
      <c r="R11" s="20"/>
      <c r="S11" s="20" t="s">
        <v>232</v>
      </c>
      <c r="T11" s="20"/>
      <c r="U11" s="20"/>
      <c r="V11" s="20"/>
      <c r="W11" s="20"/>
      <c r="X11" s="20"/>
    </row>
    <row r="12" spans="1:24" ht="34.5" customHeight="1">
      <c r="A12" s="25" t="s">
        <v>241</v>
      </c>
      <c r="B12" s="26"/>
      <c r="C12" s="26" t="s">
        <v>232</v>
      </c>
      <c r="D12" s="26"/>
      <c r="E12" s="26"/>
      <c r="F12" s="26"/>
      <c r="G12" s="26" t="s">
        <v>232</v>
      </c>
      <c r="H12" s="26" t="s">
        <v>232</v>
      </c>
      <c r="I12" s="26" t="s">
        <v>232</v>
      </c>
      <c r="J12" s="26"/>
      <c r="K12" s="26" t="s">
        <v>232</v>
      </c>
      <c r="L12" s="26"/>
      <c r="M12" s="26"/>
      <c r="N12" s="26"/>
      <c r="O12" s="26"/>
      <c r="P12" s="26"/>
      <c r="Q12" s="26"/>
      <c r="R12" s="26"/>
      <c r="S12" s="26" t="s">
        <v>232</v>
      </c>
      <c r="T12" s="26"/>
      <c r="U12" s="26"/>
      <c r="V12" s="26"/>
      <c r="W12" s="26"/>
      <c r="X12" s="26"/>
    </row>
    <row r="13" spans="1:24" ht="14.45">
      <c r="A13" s="27"/>
      <c r="B13" s="27"/>
      <c r="C13" s="27"/>
      <c r="D13" s="27"/>
      <c r="E13" s="27"/>
      <c r="F13" s="27"/>
      <c r="G13" s="27"/>
      <c r="H13" s="27"/>
      <c r="I13" s="15"/>
      <c r="J13" s="15"/>
      <c r="K13" s="15"/>
      <c r="L13" s="15"/>
      <c r="M13" s="15"/>
      <c r="N13" s="15"/>
      <c r="O13" s="15"/>
      <c r="P13" s="15"/>
      <c r="Q13" s="15"/>
      <c r="R13" s="15"/>
      <c r="S13" s="15"/>
      <c r="T13" s="15"/>
      <c r="U13" s="15"/>
      <c r="V13" s="15"/>
      <c r="W13" s="15"/>
      <c r="X13" s="15"/>
    </row>
    <row r="14" spans="1:24" ht="14.45">
      <c r="A14" s="27"/>
      <c r="B14" s="27"/>
      <c r="C14" s="15"/>
      <c r="D14" s="15"/>
      <c r="E14" s="15"/>
      <c r="F14" s="15"/>
      <c r="G14" s="15"/>
      <c r="H14" s="15"/>
      <c r="I14" s="15"/>
      <c r="J14" s="15"/>
      <c r="K14" s="15"/>
      <c r="L14" s="15"/>
      <c r="M14" s="15"/>
      <c r="N14" s="15"/>
      <c r="O14" s="15"/>
      <c r="P14" s="15"/>
      <c r="Q14" s="15"/>
      <c r="R14" s="15"/>
      <c r="S14" s="15"/>
      <c r="T14" s="15"/>
      <c r="U14" s="15"/>
      <c r="V14" s="15"/>
      <c r="W14" s="15"/>
      <c r="X14" s="15"/>
    </row>
  </sheetData>
  <mergeCells count="1">
    <mergeCell ref="B1:X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J8" sqref="J8"/>
    </sheetView>
  </sheetViews>
  <sheetFormatPr defaultColWidth="11.42578125" defaultRowHeight="13.15"/>
  <cols>
    <col min="1" max="1" width="16.85546875" bestFit="1" customWidth="1"/>
    <col min="2" max="2" width="20.7109375" customWidth="1"/>
  </cols>
  <sheetData>
    <row r="1" spans="1:2" ht="14.45">
      <c r="A1" s="28" t="s">
        <v>242</v>
      </c>
    </row>
    <row r="2" spans="1:2">
      <c r="A2" s="29" t="s">
        <v>243</v>
      </c>
      <c r="B2" s="29" t="s">
        <v>244</v>
      </c>
    </row>
    <row r="3" spans="1:2">
      <c r="A3" s="12" t="s">
        <v>12</v>
      </c>
      <c r="B3" s="12" t="s">
        <v>12</v>
      </c>
    </row>
    <row r="4" spans="1:2">
      <c r="A4" s="12" t="s">
        <v>245</v>
      </c>
      <c r="B4" s="12" t="s">
        <v>245</v>
      </c>
    </row>
    <row r="5" spans="1:2">
      <c r="A5" s="12" t="s">
        <v>45</v>
      </c>
      <c r="B5" s="12" t="s">
        <v>45</v>
      </c>
    </row>
    <row r="6" spans="1:2">
      <c r="A6" s="12" t="s">
        <v>246</v>
      </c>
      <c r="B6" s="12" t="s">
        <v>246</v>
      </c>
    </row>
    <row r="7" spans="1:2">
      <c r="A7" s="12" t="s">
        <v>247</v>
      </c>
      <c r="B7" s="12" t="s">
        <v>247</v>
      </c>
    </row>
    <row r="8" spans="1:2">
      <c r="A8" s="12" t="s">
        <v>248</v>
      </c>
      <c r="B8" s="12" t="s">
        <v>248</v>
      </c>
    </row>
    <row r="9" spans="1:2">
      <c r="A9" s="33" t="s">
        <v>31</v>
      </c>
      <c r="B9" s="33" t="s">
        <v>31</v>
      </c>
    </row>
    <row r="10" spans="1:2">
      <c r="A10" s="34" t="s">
        <v>249</v>
      </c>
      <c r="B10" s="34" t="s">
        <v>249</v>
      </c>
    </row>
    <row r="11" spans="1:2">
      <c r="A11" s="32" t="s">
        <v>250</v>
      </c>
      <c r="B11" s="32" t="s">
        <v>250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EFB97B6600334E9225DE388324461E" ma:contentTypeVersion="16" ma:contentTypeDescription="Crée un document." ma:contentTypeScope="" ma:versionID="8a0a8130386bace885ef79111731cf7e">
  <xsd:schema xmlns:xsd="http://www.w3.org/2001/XMLSchema" xmlns:xs="http://www.w3.org/2001/XMLSchema" xmlns:p="http://schemas.microsoft.com/office/2006/metadata/properties" xmlns:ns2="d1473da9-24ac-4029-a312-f84a29c53318" xmlns:ns3="63b6fad4-56e1-4138-b6a6-bc85680201fe" targetNamespace="http://schemas.microsoft.com/office/2006/metadata/properties" ma:root="true" ma:fieldsID="46ee26ed4fac5a57edb1c46334d0d5a6" ns2:_="" ns3:_="">
    <xsd:import namespace="d1473da9-24ac-4029-a312-f84a29c53318"/>
    <xsd:import namespace="63b6fad4-56e1-4138-b6a6-bc85680201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x0077_ee2"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473da9-24ac-4029-a312-f84a29c53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0077_ee2" ma:index="12" nillable="true" ma:displayName="Date and Time" ma:internalName="_x0077_ee2">
      <xsd:simpleType>
        <xsd:restriction base="dms:DateTim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59498ac7-68cc-48ea-a29a-cd5022356a5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6fad4-56e1-4138-b6a6-bc85680201fe"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764759c1-76f7-418c-8460-ccc515011e6e}" ma:internalName="TaxCatchAll" ma:showField="CatchAllData" ma:web="63b6fad4-56e1-4138-b6a6-bc85680201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0077_ee2 xmlns="d1473da9-24ac-4029-a312-f84a29c53318" xsi:nil="true"/>
    <lcf76f155ced4ddcb4097134ff3c332f xmlns="d1473da9-24ac-4029-a312-f84a29c53318">
      <Terms xmlns="http://schemas.microsoft.com/office/infopath/2007/PartnerControls"/>
    </lcf76f155ced4ddcb4097134ff3c332f>
    <TaxCatchAll xmlns="63b6fad4-56e1-4138-b6a6-bc85680201fe" xsi:nil="true"/>
  </documentManagement>
</p:properties>
</file>

<file path=customXml/itemProps1.xml><?xml version="1.0" encoding="utf-8"?>
<ds:datastoreItem xmlns:ds="http://schemas.openxmlformats.org/officeDocument/2006/customXml" ds:itemID="{BA8EB123-7178-4C67-BF40-41F8BC4812C0}"/>
</file>

<file path=customXml/itemProps2.xml><?xml version="1.0" encoding="utf-8"?>
<ds:datastoreItem xmlns:ds="http://schemas.openxmlformats.org/officeDocument/2006/customXml" ds:itemID="{35530847-0FD1-4A59-B2C7-DA894200D89B}"/>
</file>

<file path=customXml/itemProps3.xml><?xml version="1.0" encoding="utf-8"?>
<ds:datastoreItem xmlns:ds="http://schemas.openxmlformats.org/officeDocument/2006/customXml" ds:itemID="{D3EEBD0D-C778-4805-905B-9B8EEC1489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 OTHMANI</dc:creator>
  <cp:keywords/>
  <dc:description/>
  <cp:lastModifiedBy>Mootaz FARWA</cp:lastModifiedBy>
  <cp:revision/>
  <dcterms:created xsi:type="dcterms:W3CDTF">2021-02-22T12:41:26Z</dcterms:created>
  <dcterms:modified xsi:type="dcterms:W3CDTF">2024-07-23T14:20:13Z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0x0101007AEFB97B6600334E9225DE388324461E</vt:lpwstr>
  </property>
  <property fmtid="{D5CDD505-2E9C-101B-9397-08002B2CF9AE}" pid="3" name="MediaServiceImageTags">
    <vt:lpwstr/>
  </property>
</Properties>
</file>